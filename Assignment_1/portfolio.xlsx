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vie/Desktop/Yale/Quant Investing/"/>
    </mc:Choice>
  </mc:AlternateContent>
  <xr:revisionPtr revIDLastSave="0" documentId="13_ncr:1_{1F7504EB-2CEF-EA41-98C8-B2152A247063}" xr6:coauthVersionLast="47" xr6:coauthVersionMax="47" xr10:uidLastSave="{00000000-0000-0000-0000-000000000000}"/>
  <bookViews>
    <workbookView xWindow="4420" yWindow="660" windowWidth="25820" windowHeight="17420" tabRatio="500" activeTab="2" xr2:uid="{00000000-000D-0000-FFFF-FFFF00000000}"/>
  </bookViews>
  <sheets>
    <sheet name="Overview" sheetId="1" r:id="rId1"/>
    <sheet name="Holdings" sheetId="2" r:id="rId2"/>
    <sheet name="Prices" sheetId="4" r:id="rId3"/>
    <sheet name="Returns" sheetId="5" r:id="rId4"/>
    <sheet name="Data Notes" sheetId="6" r:id="rId5"/>
  </sheets>
  <definedNames>
    <definedName name="_xlnm._FilterDatabase" localSheetId="1" hidden="1">Holdings!$C$2:$W$52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G28" i="1" s="1"/>
  <c r="D28" i="1"/>
  <c r="E27" i="1"/>
  <c r="G27" i="1" s="1"/>
  <c r="D27" i="1"/>
  <c r="G26" i="1"/>
  <c r="E26" i="1"/>
  <c r="D26" i="1"/>
  <c r="E25" i="1"/>
  <c r="G25" i="1" s="1"/>
  <c r="D25" i="1"/>
  <c r="E24" i="1"/>
  <c r="G24" i="1" s="1"/>
  <c r="D24" i="1"/>
  <c r="G23" i="1"/>
  <c r="E23" i="1"/>
  <c r="D23" i="1"/>
  <c r="E22" i="1"/>
  <c r="G22" i="1" s="1"/>
  <c r="D22" i="1"/>
  <c r="E21" i="1"/>
  <c r="G21" i="1" s="1"/>
  <c r="D21" i="1"/>
  <c r="E20" i="1"/>
  <c r="G20" i="1" s="1"/>
  <c r="D20" i="1"/>
  <c r="E19" i="1"/>
  <c r="G19" i="1" s="1"/>
  <c r="D19" i="1"/>
  <c r="E18" i="1"/>
  <c r="E29" i="1" s="1"/>
  <c r="D18" i="1"/>
  <c r="D29" i="1" s="1"/>
  <c r="G13" i="1"/>
  <c r="F13" i="1"/>
  <c r="D13" i="1"/>
  <c r="C13" i="1"/>
  <c r="A13" i="1"/>
  <c r="G18" i="1" l="1"/>
</calcChain>
</file>

<file path=xl/sharedStrings.xml><?xml version="1.0" encoding="utf-8"?>
<sst xmlns="http://schemas.openxmlformats.org/spreadsheetml/2006/main" count="777" uniqueCount="415">
  <si>
    <t>Company</t>
  </si>
  <si>
    <t>Position</t>
  </si>
  <si>
    <t>Fundamentals &amp; Momentum</t>
  </si>
  <si>
    <t>Size Flag</t>
  </si>
  <si>
    <t>Investment Thesis</t>
  </si>
  <si>
    <t>Coverage Notes</t>
  </si>
  <si>
    <t>Source</t>
  </si>
  <si>
    <t>Ticker</t>
  </si>
  <si>
    <t>Sector</t>
  </si>
  <si>
    <t>Industry</t>
  </si>
  <si>
    <t>Company Name</t>
  </si>
  <si>
    <t>Market Cap ($bn)</t>
  </si>
  <si>
    <t>Proposed Weight</t>
  </si>
  <si>
    <t>Trailing P/E</t>
  </si>
  <si>
    <t>ROIC (%)</t>
  </si>
  <si>
    <t>3Y Rev. CAGR (%)</t>
  </si>
  <si>
    <t>Debt/Equity</t>
  </si>
  <si>
    <t>6M Price Return (%)</t>
  </si>
  <si>
    <t>Price vs. 200D MA (%)</t>
  </si>
  <si>
    <t>Finviz Beta</t>
  </si>
  <si>
    <t>Below $5bn?</t>
  </si>
  <si>
    <t>Selection Rationale</t>
  </si>
  <si>
    <t>Key Risk</t>
  </si>
  <si>
    <t>Data Avail. from Dec 2009?</t>
  </si>
  <si>
    <t>Delisted/Failed/Acquired?</t>
  </si>
  <si>
    <t>Financial Year End</t>
  </si>
  <si>
    <t>Data As Of</t>
  </si>
  <si>
    <t>Source URL</t>
  </si>
  <si>
    <t>Contributor(s)</t>
  </si>
  <si>
    <t>AAPL</t>
  </si>
  <si>
    <t>Information Technology</t>
  </si>
  <si>
    <t>Apple Inc.</t>
  </si>
  <si>
    <t>No</t>
  </si>
  <si>
    <t>Large-cap tech; long history</t>
  </si>
  <si>
    <t>iPhone concentration / valuation</t>
  </si>
  <si>
    <t>Sep</t>
  </si>
  <si>
    <t>https://finviz.com/stock?t=AAPL</t>
  </si>
  <si>
    <t>Evan, Skye</t>
  </si>
  <si>
    <t>ABT</t>
  </si>
  <si>
    <t>Health Care</t>
  </si>
  <si>
    <t>Abbott Laboratories</t>
  </si>
  <si>
    <t>Diversified health care exposure</t>
  </si>
  <si>
    <t>Regulatory / product risk</t>
  </si>
  <si>
    <t>Dec</t>
  </si>
  <si>
    <t>https://finviz.com/stock?t=ABT</t>
  </si>
  <si>
    <t>ADBE</t>
  </si>
  <si>
    <t>Application Software</t>
  </si>
  <si>
    <t>Adobe Inc</t>
  </si>
  <si>
    <t>Recurring creative-software revenue; strong profitability and cash generation</t>
  </si>
  <si>
    <t>AI competition; negative price momentum</t>
  </si>
  <si>
    <t>Yes—monthly prices</t>
  </si>
  <si>
    <t>Active listed</t>
  </si>
  <si>
    <t>November</t>
  </si>
  <si>
    <t>https://finviz.com/stock?t=ADBE</t>
  </si>
  <si>
    <t>Ashley</t>
  </si>
  <si>
    <t>ADUS</t>
  </si>
  <si>
    <t>Medical Care Facilities</t>
  </si>
  <si>
    <t>Addus HomeCare Corp</t>
  </si>
  <si>
    <t>Yes</t>
  </si>
  <si>
    <t>Growing home-care revenue and low leverage</t>
  </si>
  <si>
    <t>Reimbursement rates; labor availability; smaller-company liquidity</t>
  </si>
  <si>
    <t>December</t>
  </si>
  <si>
    <t>https://finviz.com/stock?t=ADUS</t>
  </si>
  <si>
    <t>AMGN</t>
  </si>
  <si>
    <t>Drug Manufacturers - General</t>
  </si>
  <si>
    <t>AMGEN Inc</t>
  </si>
  <si>
    <t>Established medicines and positive cash generation</t>
  </si>
  <si>
    <t>High leverage; patent and pipeline risks</t>
  </si>
  <si>
    <t>https://finviz.com/stock?t=AMGN</t>
  </si>
  <si>
    <t>Ashley, Evan</t>
  </si>
  <si>
    <t>AMZN</t>
  </si>
  <si>
    <t>Consumer Discretionary</t>
  </si>
  <si>
    <t>Amazon.com, Inc.</t>
  </si>
  <si>
    <t>E-commerce/cloud exposure</t>
  </si>
  <si>
    <t>Valuation / competition</t>
  </si>
  <si>
    <t>https://finviz.com/stock?t=AMZN</t>
  </si>
  <si>
    <t>Evan</t>
  </si>
  <si>
    <t>CAT</t>
  </si>
  <si>
    <t>Industrials</t>
  </si>
  <si>
    <t>Caterpillar Inc.</t>
  </si>
  <si>
    <t>Industrial/cyclical exposure</t>
  </si>
  <si>
    <t>Economic-cycle risk</t>
  </si>
  <si>
    <t>https://finviz.com/stock?t=CAT</t>
  </si>
  <si>
    <t>CMCSA</t>
  </si>
  <si>
    <t>Communication Services</t>
  </si>
  <si>
    <t>Telecom Services</t>
  </si>
  <si>
    <t>Comcast Corp</t>
  </si>
  <si>
    <t>Low earnings and cash-flow multiples</t>
  </si>
  <si>
    <t>Broadband competition; structural media changes; weak momentum</t>
  </si>
  <si>
    <t>Active listed; spin-off history</t>
  </si>
  <si>
    <t>https://finviz.com/stock?t=CMCSA</t>
  </si>
  <si>
    <t>Ashley, Evan, Skye</t>
  </si>
  <si>
    <t>COST</t>
  </si>
  <si>
    <t>Consumer Staples</t>
  </si>
  <si>
    <t>Costco Wholesale</t>
  </si>
  <si>
    <t>Defensive retail exposure</t>
  </si>
  <si>
    <t>High valuation</t>
  </si>
  <si>
    <t>Aug</t>
  </si>
  <si>
    <t>https://finviz.com/stock?t=COST</t>
  </si>
  <si>
    <t>CSCO</t>
  </si>
  <si>
    <t>Cisco Systems</t>
  </si>
  <si>
    <t>Networking technology exposure</t>
  </si>
  <si>
    <t>Slow growth / competition</t>
  </si>
  <si>
    <t>Jul</t>
  </si>
  <si>
    <t>https://finviz.com/stock?t=CSCO</t>
  </si>
  <si>
    <t>CVX</t>
  </si>
  <si>
    <t>Energy</t>
  </si>
  <si>
    <t>Oil &amp; Gas Integrated</t>
  </si>
  <si>
    <t>Chevron Corp</t>
  </si>
  <si>
    <t>Integrated energy operations with low reported leverage</t>
  </si>
  <si>
    <t>Oil prices; project execution</t>
  </si>
  <si>
    <t>https://finviz.com/stock?t=CVX</t>
  </si>
  <si>
    <t>DIS</t>
  </si>
  <si>
    <t>Walt Disney Co.</t>
  </si>
  <si>
    <t>Media/entertainment exposure</t>
  </si>
  <si>
    <t>Streaming profitability</t>
  </si>
  <si>
    <t>https://finviz.com/stock?t=DIS</t>
  </si>
  <si>
    <t>ECL</t>
  </si>
  <si>
    <t>Materials</t>
  </si>
  <si>
    <t>Specialty Chemicals</t>
  </si>
  <si>
    <t>Ecolab Inc.</t>
  </si>
  <si>
    <t>Specialty-chemicals name adds a quality materials exposure.</t>
  </si>
  <si>
    <t>Input costs and valuation.</t>
  </si>
  <si>
    <t>Provisional Yes* (Finviz IPO: 1980-03-17)</t>
  </si>
  <si>
    <t>No — active Finviz listing</t>
  </si>
  <si>
    <t>N/A — not a Finviz screener field</t>
  </si>
  <si>
    <t>https://finviz.com/stock?t=ECL</t>
  </si>
  <si>
    <t>Emily</t>
  </si>
  <si>
    <t>EMR</t>
  </si>
  <si>
    <t>Emerson Electric</t>
  </si>
  <si>
    <t>Industrial automation exposure</t>
  </si>
  <si>
    <t>Industrial cycle</t>
  </si>
  <si>
    <t>https://finviz.com/stock?t=EMR</t>
  </si>
  <si>
    <t>EOG</t>
  </si>
  <si>
    <t>Oil &amp; Gas Exploration &amp; Production</t>
  </si>
  <si>
    <t>EOG Resources Inc</t>
  </si>
  <si>
    <t>High reported capital returns with relatively low leverage</t>
  </si>
  <si>
    <t>Oil-price exposure; declining three-year reported revenue</t>
  </si>
  <si>
    <t>https://finviz.com/stock?t=EOG</t>
  </si>
  <si>
    <t>EXEL</t>
  </si>
  <si>
    <t>Biotechnology</t>
  </si>
  <si>
    <t>Exelixis Inc</t>
  </si>
  <si>
    <t>High reported capital returns and low leverage</t>
  </si>
  <si>
    <t>Dependence on key oncology products</t>
  </si>
  <si>
    <t>https://finviz.com/stock?t=EXEL</t>
  </si>
  <si>
    <t>FFIV</t>
  </si>
  <si>
    <t>Infrastructure Software</t>
  </si>
  <si>
    <t>F5 Inc</t>
  </si>
  <si>
    <t>Low leverage and profitable application-delivery infrastructure</t>
  </si>
  <si>
    <t>Modest growth; competition</t>
  </si>
  <si>
    <t>September</t>
  </si>
  <si>
    <t>https://finviz.com/stock?t=FFIV</t>
  </si>
  <si>
    <t>GD</t>
  </si>
  <si>
    <t>Aerospace &amp; Defense</t>
  </si>
  <si>
    <t>General Dynamics Corp</t>
  </si>
  <si>
    <t>Low leverage and cash-generating defense operations</t>
  </si>
  <si>
    <t>Government procurement; aircraft demand; borderline price trend</t>
  </si>
  <si>
    <t>https://finviz.com/stock?t=GD</t>
  </si>
  <si>
    <t>GE</t>
  </si>
  <si>
    <t>Industrial Conglomerates</t>
  </si>
  <si>
    <t>GE Aerospace (General Electric)</t>
  </si>
  <si>
    <t>Legacy industrial conglomerate, long history through multiple spin-offs</t>
  </si>
  <si>
    <t>Aerospace cycle; historical conglomerate discount legacy</t>
  </si>
  <si>
    <t>https://finviz.com/stock?t=GE</t>
  </si>
  <si>
    <t>Skye</t>
  </si>
  <si>
    <t>GOOGL</t>
  </si>
  <si>
    <t>Internet Content &amp; Information</t>
  </si>
  <si>
    <t>Alphabet Inc.</t>
  </si>
  <si>
    <t>Large digital-advertising/cloud platform; strong communications exposure.</t>
  </si>
  <si>
    <t>Regulation, AI competition and advertising cyclicality.</t>
  </si>
  <si>
    <t>Provisional Yes* (Finviz IPO: 2004-08-19)</t>
  </si>
  <si>
    <t>https://finviz.com/stock?t=GOOGL</t>
  </si>
  <si>
    <t>GS</t>
  </si>
  <si>
    <t>Financials</t>
  </si>
  <si>
    <t>Capital Markets</t>
  </si>
  <si>
    <t>Goldman Sachs Group Inc.</t>
  </si>
  <si>
    <t>Capital-markets exposure complements commercial banks.</t>
  </si>
  <si>
    <t>Trading/investment-banking cycle and leverage.</t>
  </si>
  <si>
    <t>Provisional Yes* (Finviz IPO: 1999-05-04)</t>
  </si>
  <si>
    <t>https://finviz.com/stock?t=GS</t>
  </si>
  <si>
    <t>Emily, Skye</t>
  </si>
  <si>
    <t>HD</t>
  </si>
  <si>
    <t>Home Improvement Retail</t>
  </si>
  <si>
    <t>Home Depot Inc</t>
  </si>
  <si>
    <t>Profitable home-improvement franchise with cash generation</t>
  </si>
  <si>
    <t>Housing demand; leverage; weak momentum</t>
  </si>
  <si>
    <t>January/February (52/53 weeks)</t>
  </si>
  <si>
    <t>https://finviz.com/stock?t=HD</t>
  </si>
  <si>
    <t>Ashley, Emily, Evan, Skye</t>
  </si>
  <si>
    <t>INCY</t>
  </si>
  <si>
    <t>Incyte Corp</t>
  </si>
  <si>
    <t>Profitable drug portfolio, revenue growth and very low debt</t>
  </si>
  <si>
    <t>Product concentration and patent exposure</t>
  </si>
  <si>
    <t>https://finviz.com/stock?t=INCY</t>
  </si>
  <si>
    <t>JNJ</t>
  </si>
  <si>
    <t>Johnson &amp; Johnson</t>
  </si>
  <si>
    <t>Diversified health-care exposure with very long history.</t>
  </si>
  <si>
    <t>Litigation, regulation and product/pipeline risk.</t>
  </si>
  <si>
    <t>Provisional Yes* (Finviz IPO: 1944-09-25)</t>
  </si>
  <si>
    <t>https://finviz.com/stock?t=JNJ</t>
  </si>
  <si>
    <t>Emily, Evan, Skye</t>
  </si>
  <si>
    <t>JPM</t>
  </si>
  <si>
    <t>Banks - Diversified</t>
  </si>
  <si>
    <t>JPMorgan Chase &amp; Co</t>
  </si>
  <si>
    <t>High reported bank profitability and diversified revenue sources</t>
  </si>
  <si>
    <t>Premium book valuation; credit and market risks</t>
  </si>
  <si>
    <t>https://finviz.com/stock?t=JPM</t>
  </si>
  <si>
    <t>KO</t>
  </si>
  <si>
    <t>Beverages - Non-Alcoholic</t>
  </si>
  <si>
    <t>Coca-Cola Co.</t>
  </si>
  <si>
    <t>Defensive global beverage franchise.</t>
  </si>
  <si>
    <t>FX, input costs and demand elasticity.</t>
  </si>
  <si>
    <t>Provisional Yes* (Finviz IPO: 1950-01-26)</t>
  </si>
  <si>
    <t>https://finviz.com/stock?t=KO</t>
  </si>
  <si>
    <t>LNN</t>
  </si>
  <si>
    <t>Farm &amp; Heavy Construction Machinery</t>
  </si>
  <si>
    <t>Lindsay Corp.</t>
  </si>
  <si>
    <t>Sub-$5bn industrial adds size diversity outside Energy.</t>
  </si>
  <si>
    <t>Agricultural cycle and small-cap liquidity.</t>
  </si>
  <si>
    <t>Provisional Yes* (Finviz IPO: 1988-10-12)</t>
  </si>
  <si>
    <t>https://finviz.com/stock?t=LNN</t>
  </si>
  <si>
    <t>MCD</t>
  </si>
  <si>
    <t>Restaurants</t>
  </si>
  <si>
    <t>McDonald's Corp.</t>
  </si>
  <si>
    <t>Global restaurant franchise with defensive/discretionary characteristics.</t>
  </si>
  <si>
    <t>Consumer spending, FX; D/E not meaningful with negative equity.</t>
  </si>
  <si>
    <t>Provisional Yes* (Finviz IPO: 1966-07-05)</t>
  </si>
  <si>
    <t>https://finviz.com/stock?t=MCD</t>
  </si>
  <si>
    <t>MDT</t>
  </si>
  <si>
    <t>Medical Devices</t>
  </si>
  <si>
    <t>Medtronic Plc</t>
  </si>
  <si>
    <t>Diversified medical-device operations with positive cash generation</t>
  </si>
  <si>
    <t>Product execution; pricing pressure</t>
  </si>
  <si>
    <t>Active listed; merger/reorganization history</t>
  </si>
  <si>
    <t>April</t>
  </si>
  <si>
    <t>https://finviz.com/stock?t=MDT</t>
  </si>
  <si>
    <t>MS</t>
  </si>
  <si>
    <t>Morgan Stanley</t>
  </si>
  <si>
    <t>Wealth management and investment-banking exposure.</t>
  </si>
  <si>
    <t>Market cycle, trading and asset-price sensitivity.</t>
  </si>
  <si>
    <t>Provisional Yes* (Finviz IPO: 1986-03-21)</t>
  </si>
  <si>
    <t>https://finviz.com/stock?t=MS</t>
  </si>
  <si>
    <t>MSFT</t>
  </si>
  <si>
    <t>Software - Infrastructure</t>
  </si>
  <si>
    <t>Microsoft Corp.</t>
  </si>
  <si>
    <t>Mega-cap software/cloud exposure.</t>
  </si>
  <si>
    <t>Valuation, regulation and AI/data-center capex.</t>
  </si>
  <si>
    <t>Provisional Yes* (Finviz IPO: 1986-03-13)</t>
  </si>
  <si>
    <t>https://finviz.com/stock?t=MSFT</t>
  </si>
  <si>
    <t>MU</t>
  </si>
  <si>
    <t>Semiconductors</t>
  </si>
  <si>
    <t>Micron Technology Inc</t>
  </si>
  <si>
    <t>Memory-price cyclicality; extended rally</t>
  </si>
  <si>
    <t>August</t>
  </si>
  <si>
    <t>https://finviz.com/stock?t=MU</t>
  </si>
  <si>
    <t>NEE</t>
  </si>
  <si>
    <t>Utilities</t>
  </si>
  <si>
    <t>Utilities - Regulated Electric</t>
  </si>
  <si>
    <t>NextEra Energy Inc.</t>
  </si>
  <si>
    <t>Utility plus renewables exposure within a defensive sector.</t>
  </si>
  <si>
    <t>Rates, financing and project execution.</t>
  </si>
  <si>
    <t>Provisional Yes* (Finviz IPO: 1950-02-15)</t>
  </si>
  <si>
    <t>https://finviz.com/stock?t=NEE</t>
  </si>
  <si>
    <t>Emily, Evan</t>
  </si>
  <si>
    <t>NTAP</t>
  </si>
  <si>
    <t>Computer Hardware and Storage</t>
  </si>
  <si>
    <t>Netapp Inc</t>
  </si>
  <si>
    <t>Profitable enterprise storage business with cash generation</t>
  </si>
  <si>
    <t>Leverage; elevated share price; small equity base</t>
  </si>
  <si>
    <t>https://finviz.com/stock?t=NTAP</t>
  </si>
  <si>
    <t>NVDA</t>
  </si>
  <si>
    <t>NVIDIA Corp</t>
  </si>
  <si>
    <t>High profitability and rapid historical revenue growth</t>
  </si>
  <si>
    <t>AI investment cycle; customer concentration; high beta</t>
  </si>
  <si>
    <t>January</t>
  </si>
  <si>
    <t>https://finviz.com/stock?t=NVDA</t>
  </si>
  <si>
    <t>OII</t>
  </si>
  <si>
    <t>Oil &amp; Gas Equipment &amp; Services</t>
  </si>
  <si>
    <t>Oceaneering International Inc</t>
  </si>
  <si>
    <t>Profitable subsea-services exposure and historical revenue growth</t>
  </si>
  <si>
    <t>Offshore spending cycle; market cap close to the $5bn cutoff</t>
  </si>
  <si>
    <t>https://finviz.com/stock?t=OII</t>
  </si>
  <si>
    <t>OKE</t>
  </si>
  <si>
    <t>Oil &amp; Gas Midstream</t>
  </si>
  <si>
    <t>Oneok Inc</t>
  </si>
  <si>
    <t>Adds energy transportation and processing exposure</t>
  </si>
  <si>
    <t>Leverage; interest rates; acquisition integration</t>
  </si>
  <si>
    <t>https://finviz.com/stock?t=OKE</t>
  </si>
  <si>
    <t>PG</t>
  </si>
  <si>
    <t>Household &amp; Personal Products</t>
  </si>
  <si>
    <t>Procter &amp; Gamble Co</t>
  </si>
  <si>
    <t>Recurring household-product demand and profitability</t>
  </si>
  <si>
    <t>Modest growth; pricing pressure; weak momentum</t>
  </si>
  <si>
    <t>June</t>
  </si>
  <si>
    <t>https://finviz.com/stock?t=PG</t>
  </si>
  <si>
    <t>Ashley, Emily, Skye</t>
  </si>
  <si>
    <t>PH</t>
  </si>
  <si>
    <t>Specialty Industrial Machinery</t>
  </si>
  <si>
    <t>Parker-Hannifin Corp</t>
  </si>
  <si>
    <t>Profitable motion-control operations with moderate leverage</t>
  </si>
  <si>
    <t>Industrial cycle; valuation; marginal positive momentum</t>
  </si>
  <si>
    <t>https://finviz.com/stock?t=PH</t>
  </si>
  <si>
    <t>PLAB</t>
  </si>
  <si>
    <t>Photronics Inc.</t>
  </si>
  <si>
    <t>Small-cap semiconductor exposure</t>
  </si>
  <si>
    <t>Semiconductor cyclicality</t>
  </si>
  <si>
    <t>Oct</t>
  </si>
  <si>
    <t>https://finviz.com/stock?t=PLAB</t>
  </si>
  <si>
    <t>PLD</t>
  </si>
  <si>
    <t>Real Estate</t>
  </si>
  <si>
    <t>Industrial REITs</t>
  </si>
  <si>
    <t>Prologis Inc.</t>
  </si>
  <si>
    <t>Industrial/logistics REIT; note 2011 AMB-ProLogis merger kept ticker PLD</t>
  </si>
  <si>
    <t>E-commerce demand cyclicality; rate sensitivity</t>
  </si>
  <si>
    <t>https://finviz.com/stock?t=PLD</t>
  </si>
  <si>
    <t>PLUS</t>
  </si>
  <si>
    <t>IT Solutions and Services</t>
  </si>
  <si>
    <t>ePlus Inc</t>
  </si>
  <si>
    <t>Low reported debt and positive historical revenue growth</t>
  </si>
  <si>
    <t>Thin margins; working-capital demands</t>
  </si>
  <si>
    <t>March</t>
  </si>
  <si>
    <t>https://finviz.com/stock?t=PLUS</t>
  </si>
  <si>
    <t>QCOM</t>
  </si>
  <si>
    <t>Qualcomm Inc</t>
  </si>
  <si>
    <t>Profitable chip and licensing businesses at a moderate earnings multiple</t>
  </si>
  <si>
    <t>Handset concentration; customer substitution</t>
  </si>
  <si>
    <t>https://finviz.com/stock?t=QCOM</t>
  </si>
  <si>
    <t>REGN</t>
  </si>
  <si>
    <t>Regeneron Pharmaceuticals Inc</t>
  </si>
  <si>
    <t>Low leverage and established profitable medicines</t>
  </si>
  <si>
    <t>Product concentration; clinical and competitive risk</t>
  </si>
  <si>
    <t>https://finviz.com/stock?t=REGN</t>
  </si>
  <si>
    <t>SHW</t>
  </si>
  <si>
    <t>Sherwin-Williams Co</t>
  </si>
  <si>
    <t>Profitable coatings business with positive cash generation</t>
  </si>
  <si>
    <t>Housing cycle; leverage; weak momentum; only one scoreable candidate</t>
  </si>
  <si>
    <t>https://finviz.com/stock?t=SHW</t>
  </si>
  <si>
    <t>TJX</t>
  </si>
  <si>
    <t>Apparel Retail</t>
  </si>
  <si>
    <t>TJX Companies Inc</t>
  </si>
  <si>
    <t>Profitable off-price retail business with historical growth</t>
  </si>
  <si>
    <t>Consumer demand; sourcing execution; weak momentum</t>
  </si>
  <si>
    <t>https://finviz.com/stock?t=TJX</t>
  </si>
  <si>
    <t>TXN</t>
  </si>
  <si>
    <t>Texas Instruments</t>
  </si>
  <si>
    <t>Analog semiconductor exposure</t>
  </si>
  <si>
    <t>Semiconductor cycle</t>
  </si>
  <si>
    <t>https://finviz.com/stock?t=TXN</t>
  </si>
  <si>
    <t>UNH</t>
  </si>
  <si>
    <t>Healthcare Plans</t>
  </si>
  <si>
    <t>Unitedhealth Group Inc</t>
  </si>
  <si>
    <t>Large healthcare-services franchise with positive cash generation</t>
  </si>
  <si>
    <t>Medical-cost inflation; reimbursement and regulatory exposure</t>
  </si>
  <si>
    <t>https://finviz.com/stock?t=UNH</t>
  </si>
  <si>
    <t>Ashley, Emily, Evan</t>
  </si>
  <si>
    <t>UNP</t>
  </si>
  <si>
    <t>Railroads</t>
  </si>
  <si>
    <t>Union Pacific Corp</t>
  </si>
  <si>
    <t>Profitable rail network with positive cash generation</t>
  </si>
  <si>
    <t>Freight cycle; labor and regulatory risks</t>
  </si>
  <si>
    <t>https://finviz.com/stock?t=UNP</t>
  </si>
  <si>
    <t>WMT</t>
  </si>
  <si>
    <t>Walmart Inc.</t>
  </si>
  <si>
    <t>Margin pressure</t>
  </si>
  <si>
    <t>Jan</t>
  </si>
  <si>
    <t>https://finviz.com/stock?t=WMT</t>
  </si>
  <si>
    <t>PORTFOLIO A — QUALITY GROWTH</t>
  </si>
  <si>
    <t>STRATEGY</t>
  </si>
  <si>
    <t>•  Own profitable businesses with room to reinvest and expand.</t>
  </si>
  <si>
    <t>•  Emphasize technology, healthcare innovation and industrial investment.</t>
  </si>
  <si>
    <t>•  Main risks: valuation, AI spending and economic growth sensitivity.</t>
  </si>
  <si>
    <t>PORTFOLIO SNAPSHOT</t>
  </si>
  <si>
    <t>HOLDINGS</t>
  </si>
  <si>
    <t>TOTAL WEIGHT</t>
  </si>
  <si>
    <t>AVG MARKET CAP</t>
  </si>
  <si>
    <t>WEIGHTED BETA</t>
  </si>
  <si>
    <t>BELOW $5BN</t>
  </si>
  <si>
    <t>names</t>
  </si>
  <si>
    <t>of portfolio</t>
  </si>
  <si>
    <t>arithmetic mean</t>
  </si>
  <si>
    <t>Finviz vendor est.</t>
  </si>
  <si>
    <t>small-cap names</t>
  </si>
  <si>
    <t>SECTOR ALLOCATION</t>
  </si>
  <si>
    <t>Holdings</t>
  </si>
  <si>
    <t>Weight</t>
  </si>
  <si>
    <t>Weight vs. Portfolio</t>
  </si>
  <si>
    <t>Total</t>
  </si>
  <si>
    <t>NOTES &amp; METHODOLOGY</t>
  </si>
  <si>
    <t>—  Basis: September 10, 2026 snapshots; equal weights of 2% are proposed.</t>
  </si>
  <si>
    <t>—  Average market cap is an arithmetic mean, not a portfolio valuation.</t>
  </si>
  <si>
    <t>—  Beta is a weighted average of vendor estimates, not measured portfolio volatility.</t>
  </si>
  <si>
    <t>—  Historical coverage, fiscal year ends and company notes are carried from the group workbook.</t>
  </si>
  <si>
    <t>—  Fields not verified in the group workbook remain blank or retain their original qualification.</t>
  </si>
  <si>
    <t>—  Finviz figures use the snapshots underlying our two-portfolio comparison; they are not live.</t>
  </si>
  <si>
    <t>—  Both portfolios use the same shared universe of 116 names; selections reflect business fit.</t>
  </si>
  <si>
    <t>Date</t>
  </si>
  <si>
    <t>^GSPC</t>
  </si>
  <si>
    <t>Prices</t>
  </si>
  <si>
    <t>Returns</t>
  </si>
  <si>
    <t>Data Build Notes</t>
  </si>
  <si>
    <t>Generated: 2026-09-10 14:10</t>
  </si>
  <si>
    <t>Final sample period:</t>
  </si>
  <si>
    <t>2010-01-01 to 2026-09-01</t>
  </si>
  <si>
    <t>Final ticker count (excl. market):</t>
  </si>
  <si>
    <t>Months dropped in complete-case alignment:</t>
  </si>
  <si>
    <t>Tickers dropped — no data returned at all:</t>
  </si>
  <si>
    <t>(none)</t>
  </si>
  <si>
    <t>Tickers dropped — &gt;5% missing monthly observations:</t>
  </si>
  <si>
    <t>Extreme monthly returns flagged (&lt; -50% or &gt; +200%, NOT removed):</t>
  </si>
  <si>
    <t>Return</t>
  </si>
  <si>
    <t>2014-09-01</t>
  </si>
  <si>
    <t>-63.04%</t>
  </si>
  <si>
    <t>2020-03-01</t>
  </si>
  <si>
    <t>-72.11%</t>
  </si>
  <si>
    <t>-67.31%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</si>
</sst>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\$#,##0&quot; bn&quot;"/>
    <numFmt numFmtId="166" formatCode="\$#,##0.0"/>
    <numFmt numFmtId="167" formatCode="0.0\x"/>
    <numFmt numFmtId="168" formatCode="0.0%;\(0.0%\);\-"/>
    <numFmt numFmtId="169" formatCode="0.00\x;\(0.00&quot;x)&quot;;\-"/>
    <numFmt numFmtId="170" formatCode="yyyy\-mm\-dd"/>
    <numFmt numFmtId="171" formatCode="0.0000"/>
    <numFmt numFmtId="172" formatCode="0.0000%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1"/>
    </font>
    <font>
      <b/>
      <sz val="9"/>
      <color rgb="FFB08A3E"/>
      <name val="Arial"/>
      <family val="2"/>
      <charset val="1"/>
    </font>
    <font>
      <sz val="10"/>
      <color rgb="FF222222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8"/>
      <color rgb="FF5B6774"/>
      <name val="Arial"/>
      <family val="2"/>
      <charset val="1"/>
    </font>
    <font>
      <b/>
      <sz val="14"/>
      <color rgb="FF17324A"/>
      <name val="Arial"/>
      <family val="2"/>
      <charset val="1"/>
    </font>
    <font>
      <sz val="8.5"/>
      <color rgb="FF5B677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7324A"/>
      <name val="Arial"/>
      <family val="2"/>
      <charset val="1"/>
    </font>
    <font>
      <i/>
      <sz val="8.5"/>
      <color rgb="FF5B6774"/>
      <name val="Arial"/>
      <family val="2"/>
      <charset val="1"/>
    </font>
    <font>
      <sz val="12"/>
      <color theme="1"/>
      <name val="Calibri"/>
      <family val="2"/>
      <charset val="1"/>
    </font>
    <font>
      <b/>
      <sz val="12"/>
      <color rgb="FF17324A"/>
      <name val="Arial"/>
      <family val="2"/>
      <charset val="1"/>
    </font>
    <font>
      <sz val="12"/>
      <color rgb="FF222222"/>
      <name val="Arial"/>
      <family val="2"/>
      <charset val="1"/>
    </font>
    <font>
      <b/>
      <sz val="12"/>
      <color rgb="FFFFFFFF"/>
      <name val="Arial"/>
      <family val="2"/>
    </font>
    <font>
      <b/>
      <sz val="12"/>
      <color rgb="FF17324A"/>
      <name val="Arial"/>
      <family val="2"/>
    </font>
    <font>
      <sz val="12"/>
      <color rgb="FF222222"/>
      <name val="Arial"/>
      <family val="2"/>
    </font>
    <font>
      <i/>
      <sz val="10"/>
      <color rgb="FF66666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4476A"/>
        <bgColor rgb="FF17324A"/>
      </patternFill>
    </fill>
    <fill>
      <patternFill patternType="solid">
        <fgColor rgb="FF17324A"/>
        <bgColor rgb="FF222222"/>
      </patternFill>
    </fill>
    <fill>
      <patternFill patternType="solid">
        <fgColor rgb="FFEDF1F5"/>
        <bgColor rgb="FFF2F5F8"/>
      </patternFill>
    </fill>
    <fill>
      <patternFill patternType="solid">
        <fgColor rgb="FFFFFFFF"/>
        <bgColor rgb="FFF2F5F8"/>
      </patternFill>
    </fill>
    <fill>
      <patternFill patternType="solid">
        <fgColor rgb="FFF2F5F8"/>
        <bgColor rgb="FFEDF1F5"/>
      </patternFill>
    </fill>
    <fill>
      <patternFill patternType="solid">
        <fgColor rgb="FF17324A"/>
      </patternFill>
    </fill>
    <fill>
      <patternFill patternType="solid">
        <fgColor rgb="FF24476A"/>
      </patternFill>
    </fill>
    <fill>
      <patternFill patternType="solid">
        <fgColor rgb="FFF2F5F8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  <border>
      <left/>
      <right/>
      <top/>
      <bottom style="hair">
        <color rgb="FFD8DEE4"/>
      </bottom>
      <diagonal/>
    </border>
    <border>
      <left/>
      <right/>
      <top style="medium">
        <color rgb="FF24476A"/>
      </top>
      <bottom/>
      <diagonal/>
    </border>
    <border>
      <left/>
      <right/>
      <top/>
      <bottom style="medium">
        <color rgb="FF24476A"/>
      </bottom>
      <diagonal/>
    </border>
    <border>
      <left/>
      <right/>
      <top/>
      <bottom style="hair">
        <color rgb="FFE3E8ED"/>
      </bottom>
      <diagonal/>
    </border>
    <border>
      <left/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8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0" borderId="0" xfId="0" applyFont="1"/>
    <xf numFmtId="0" fontId="0" fillId="4" borderId="1" xfId="0" applyFill="1" applyBorder="1"/>
    <xf numFmtId="164" fontId="6" fillId="4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1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2" fillId="6" borderId="5" xfId="0" applyFont="1" applyFill="1" applyBorder="1"/>
    <xf numFmtId="0" fontId="13" fillId="6" borderId="5" xfId="0" applyFont="1" applyFill="1" applyBorder="1"/>
    <xf numFmtId="166" fontId="13" fillId="6" borderId="5" xfId="0" applyNumberFormat="1" applyFont="1" applyFill="1" applyBorder="1" applyAlignment="1">
      <alignment horizontal="center"/>
    </xf>
    <xf numFmtId="164" fontId="13" fillId="6" borderId="5" xfId="0" applyNumberFormat="1" applyFont="1" applyFill="1" applyBorder="1" applyAlignment="1">
      <alignment horizontal="center"/>
    </xf>
    <xf numFmtId="167" fontId="13" fillId="6" borderId="5" xfId="0" applyNumberFormat="1" applyFont="1" applyFill="1" applyBorder="1" applyAlignment="1">
      <alignment horizontal="center"/>
    </xf>
    <xf numFmtId="168" fontId="13" fillId="6" borderId="5" xfId="0" applyNumberFormat="1" applyFont="1" applyFill="1" applyBorder="1" applyAlignment="1">
      <alignment horizontal="center"/>
    </xf>
    <xf numFmtId="169" fontId="13" fillId="6" borderId="5" xfId="0" applyNumberFormat="1" applyFont="1" applyFill="1" applyBorder="1" applyAlignment="1">
      <alignment horizontal="center"/>
    </xf>
    <xf numFmtId="2" fontId="13" fillId="6" borderId="5" xfId="0" applyNumberFormat="1" applyFont="1" applyFill="1" applyBorder="1" applyAlignment="1">
      <alignment horizontal="center"/>
    </xf>
    <xf numFmtId="0" fontId="13" fillId="6" borderId="5" xfId="0" applyFont="1" applyFill="1" applyBorder="1" applyAlignment="1">
      <alignment vertical="top" wrapText="1"/>
    </xf>
    <xf numFmtId="170" fontId="13" fillId="6" borderId="5" xfId="0" applyNumberFormat="1" applyFont="1" applyFill="1" applyBorder="1" applyAlignment="1">
      <alignment horizontal="center"/>
    </xf>
    <xf numFmtId="0" fontId="12" fillId="5" borderId="5" xfId="0" applyFont="1" applyFill="1" applyBorder="1"/>
    <xf numFmtId="0" fontId="13" fillId="5" borderId="5" xfId="0" applyFont="1" applyFill="1" applyBorder="1"/>
    <xf numFmtId="164" fontId="13" fillId="5" borderId="5" xfId="0" applyNumberFormat="1" applyFont="1" applyFill="1" applyBorder="1" applyAlignment="1">
      <alignment horizontal="center"/>
    </xf>
    <xf numFmtId="167" fontId="13" fillId="5" borderId="5" xfId="0" applyNumberFormat="1" applyFont="1" applyFill="1" applyBorder="1" applyAlignment="1">
      <alignment horizontal="center"/>
    </xf>
    <xf numFmtId="168" fontId="13" fillId="5" borderId="5" xfId="0" applyNumberFormat="1" applyFont="1" applyFill="1" applyBorder="1" applyAlignment="1">
      <alignment horizontal="center"/>
    </xf>
    <xf numFmtId="169" fontId="13" fillId="5" borderId="5" xfId="0" applyNumberFormat="1" applyFont="1" applyFill="1" applyBorder="1" applyAlignment="1">
      <alignment horizontal="center"/>
    </xf>
    <xf numFmtId="2" fontId="13" fillId="5" borderId="5" xfId="0" applyNumberFormat="1" applyFont="1" applyFill="1" applyBorder="1" applyAlignment="1">
      <alignment horizontal="center"/>
    </xf>
    <xf numFmtId="0" fontId="13" fillId="5" borderId="5" xfId="0" applyFont="1" applyFill="1" applyBorder="1" applyAlignment="1">
      <alignment vertical="top" wrapText="1"/>
    </xf>
    <xf numFmtId="170" fontId="13" fillId="5" borderId="5" xfId="0" applyNumberFormat="1" applyFont="1" applyFill="1" applyBorder="1" applyAlignment="1">
      <alignment horizontal="center"/>
    </xf>
    <xf numFmtId="166" fontId="13" fillId="5" borderId="5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170" fontId="15" fillId="9" borderId="0" xfId="0" applyNumberFormat="1" applyFont="1" applyFill="1" applyAlignment="1">
      <alignment horizontal="center"/>
    </xf>
    <xf numFmtId="171" fontId="16" fillId="9" borderId="0" xfId="0" applyNumberFormat="1" applyFont="1" applyFill="1" applyAlignment="1">
      <alignment horizontal="right"/>
    </xf>
    <xf numFmtId="170" fontId="15" fillId="10" borderId="0" xfId="0" applyNumberFormat="1" applyFont="1" applyFill="1" applyAlignment="1">
      <alignment horizontal="center"/>
    </xf>
    <xf numFmtId="171" fontId="16" fillId="10" borderId="0" xfId="0" applyNumberFormat="1" applyFont="1" applyFill="1" applyAlignment="1">
      <alignment horizontal="right"/>
    </xf>
    <xf numFmtId="172" fontId="16" fillId="9" borderId="0" xfId="0" applyNumberFormat="1" applyFont="1" applyFill="1" applyAlignment="1">
      <alignment horizontal="right"/>
    </xf>
    <xf numFmtId="172" fontId="16" fillId="10" borderId="0" xfId="0" applyNumberFormat="1" applyFont="1" applyFill="1" applyAlignment="1">
      <alignment horizontal="right"/>
    </xf>
    <xf numFmtId="0" fontId="17" fillId="0" borderId="0" xfId="0" applyFont="1"/>
    <xf numFmtId="0" fontId="15" fillId="0" borderId="0" xfId="0" applyFont="1"/>
    <xf numFmtId="0" fontId="16" fillId="0" borderId="0" xfId="0" applyFont="1"/>
    <xf numFmtId="0" fontId="14" fillId="8" borderId="0" xfId="0" applyFont="1" applyFill="1"/>
    <xf numFmtId="0" fontId="4" fillId="3" borderId="4" xfId="0" applyFont="1" applyFill="1" applyBorder="1" applyAlignment="1">
      <alignment horizontal="center" vertical="center"/>
    </xf>
    <xf numFmtId="0" fontId="0" fillId="0" borderId="4" xfId="0" applyBorder="1"/>
    <xf numFmtId="0" fontId="4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indent="1"/>
    </xf>
    <xf numFmtId="0" fontId="0" fillId="0" borderId="2" xfId="0" applyBorder="1"/>
    <xf numFmtId="0" fontId="4" fillId="3" borderId="0" xfId="0" applyFont="1" applyFill="1" applyAlignment="1">
      <alignment vertical="center" indent="1"/>
    </xf>
    <xf numFmtId="0" fontId="0" fillId="0" borderId="0" xfId="0"/>
    <xf numFmtId="164" fontId="3" fillId="6" borderId="2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0" fillId="0" borderId="6" xfId="0" applyBorder="1"/>
    <xf numFmtId="164" fontId="3" fillId="5" borderId="2" xfId="0" applyNumberFormat="1" applyFont="1" applyFill="1" applyBorder="1" applyAlignment="1">
      <alignment horizontal="center"/>
    </xf>
    <xf numFmtId="0" fontId="10" fillId="0" borderId="0" xfId="0" applyFont="1"/>
    <xf numFmtId="0" fontId="3" fillId="5" borderId="2" xfId="0" applyFont="1" applyFill="1" applyBorder="1" applyAlignment="1">
      <alignment vertical="center" indent="1"/>
    </xf>
    <xf numFmtId="164" fontId="3" fillId="6" borderId="2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164" fontId="9" fillId="4" borderId="3" xfId="0" applyNumberFormat="1" applyFont="1" applyFill="1" applyBorder="1" applyAlignment="1">
      <alignment horizontal="center"/>
    </xf>
    <xf numFmtId="0" fontId="0" fillId="0" borderId="3" xfId="0" applyBorder="1"/>
    <xf numFmtId="165" fontId="6" fillId="4" borderId="1" xfId="0" applyNumberFormat="1" applyFont="1" applyFill="1" applyBorder="1" applyAlignment="1">
      <alignment horizontal="center"/>
    </xf>
    <xf numFmtId="164" fontId="3" fillId="5" borderId="2" xfId="0" applyNumberFormat="1" applyFont="1" applyFill="1" applyBorder="1"/>
    <xf numFmtId="1" fontId="6" fillId="4" borderId="1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vertical="center" indent="1"/>
    </xf>
    <xf numFmtId="0" fontId="7" fillId="4" borderId="1" xfId="0" applyFont="1" applyFill="1" applyBorder="1" applyAlignment="1">
      <alignment horizontal="center"/>
    </xf>
    <xf numFmtId="0" fontId="0" fillId="4" borderId="3" xfId="0" applyFill="1" applyBorder="1"/>
    <xf numFmtId="0" fontId="14" fillId="7" borderId="0" xfId="0" applyFont="1" applyFill="1" applyAlignment="1">
      <alignment horizontal="center"/>
    </xf>
    <xf numFmtId="0" fontId="1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5F8"/>
      <rgbColor rgb="FFEDF1F5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ED"/>
      <rgbColor rgb="FFD8DE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4"/>
      <rgbColor rgb="FFB08A3E"/>
      <rgbColor rgb="FF17324A"/>
      <rgbColor rgb="FF339966"/>
      <rgbColor rgb="FF003300"/>
      <rgbColor rgb="FF333300"/>
      <rgbColor rgb="FF993300"/>
      <rgbColor rgb="FF993366"/>
      <rgbColor rgb="FF24476A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Sector Weight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4476A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D1-2047-BD4F-03AFAE122626}"/>
              </c:ext>
            </c:extLst>
          </c:dPt>
          <c:dPt>
            <c:idx val="1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D1-2047-BD4F-03AFAE122626}"/>
              </c:ext>
            </c:extLst>
          </c:dPt>
          <c:dPt>
            <c:idx val="2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D1-2047-BD4F-03AFAE122626}"/>
              </c:ext>
            </c:extLst>
          </c:dPt>
          <c:dPt>
            <c:idx val="3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D1-2047-BD4F-03AFAE122626}"/>
              </c:ext>
            </c:extLst>
          </c:dPt>
          <c:dPt>
            <c:idx val="4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D1-2047-BD4F-03AFAE122626}"/>
              </c:ext>
            </c:extLst>
          </c:dPt>
          <c:dPt>
            <c:idx val="5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BD1-2047-BD4F-03AFAE122626}"/>
              </c:ext>
            </c:extLst>
          </c:dPt>
          <c:dPt>
            <c:idx val="6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BD1-2047-BD4F-03AFAE122626}"/>
              </c:ext>
            </c:extLst>
          </c:dPt>
          <c:dPt>
            <c:idx val="7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BD1-2047-BD4F-03AFAE122626}"/>
              </c:ext>
            </c:extLst>
          </c:dPt>
          <c:dPt>
            <c:idx val="8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BD1-2047-BD4F-03AFAE122626}"/>
              </c:ext>
            </c:extLst>
          </c:dPt>
          <c:dPt>
            <c:idx val="9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BD1-2047-BD4F-03AFAE122626}"/>
              </c:ext>
            </c:extLst>
          </c:dPt>
          <c:dPt>
            <c:idx val="10"/>
            <c:invertIfNegative val="1"/>
            <c:bubble3D val="0"/>
            <c:spPr>
              <a:solidFill>
                <a:srgbClr val="000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BD1-2047-BD4F-03AFAE12262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Overview!$A$18:$A$28</c:f>
              <c:strCache>
                <c:ptCount val="11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Energy</c:v>
                </c:pt>
                <c:pt idx="4">
                  <c:v>Financials</c:v>
                </c:pt>
                <c:pt idx="5">
                  <c:v>Health Care</c:v>
                </c:pt>
                <c:pt idx="6">
                  <c:v>Industrials</c:v>
                </c:pt>
                <c:pt idx="7">
                  <c:v>Information Technology</c:v>
                </c:pt>
                <c:pt idx="8">
                  <c:v>Materials</c:v>
                </c:pt>
                <c:pt idx="9">
                  <c:v>Real Estate</c:v>
                </c:pt>
                <c:pt idx="10">
                  <c:v>Utilities</c:v>
                </c:pt>
              </c:strCache>
            </c:strRef>
          </c:cat>
          <c:val>
            <c:numRef>
              <c:f>Overview!$E$18:$E$28</c:f>
              <c:numCache>
                <c:formatCode>0.0%</c:formatCode>
                <c:ptCount val="11"/>
                <c:pt idx="0">
                  <c:v>0.06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0.06</c:v>
                </c:pt>
                <c:pt idx="5">
                  <c:v>0.18</c:v>
                </c:pt>
                <c:pt idx="6">
                  <c:v>0.14000000000000001</c:v>
                </c:pt>
                <c:pt idx="7">
                  <c:v>0.23999999999999996</c:v>
                </c:pt>
                <c:pt idx="8">
                  <c:v>0.04</c:v>
                </c:pt>
                <c:pt idx="9">
                  <c:v>0.02</c:v>
                </c:pt>
                <c:pt idx="1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BD1-2047-BD4F-03AFAE122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386734"/>
        <c:axId val="16964360"/>
      </c:barChart>
      <c:catAx>
        <c:axId val="8938673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64360"/>
        <c:crosses val="autoZero"/>
        <c:auto val="1"/>
        <c:lblAlgn val="ctr"/>
        <c:lblOffset val="100"/>
        <c:noMultiLvlLbl val="0"/>
      </c:catAx>
      <c:valAx>
        <c:axId val="16964360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crossAx val="8938673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5</xdr:col>
      <xdr:colOff>261720</xdr:colOff>
      <xdr:row>44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showGridLines="0" zoomScaleNormal="100" workbookViewId="0"/>
  </sheetViews>
  <sheetFormatPr baseColWidth="10" defaultColWidth="8.83203125" defaultRowHeight="15" x14ac:dyDescent="0.2"/>
  <cols>
    <col min="1" max="1" width="4" customWidth="1"/>
    <col min="2" max="2" width="26" customWidth="1"/>
    <col min="3" max="7" width="16" customWidth="1"/>
    <col min="8" max="8" width="4" customWidth="1"/>
  </cols>
  <sheetData>
    <row r="1" spans="1:8" ht="24" customHeight="1" x14ac:dyDescent="0.2">
      <c r="A1" s="64" t="s">
        <v>366</v>
      </c>
      <c r="B1" s="55"/>
      <c r="C1" s="55"/>
      <c r="D1" s="55"/>
      <c r="E1" s="55"/>
      <c r="F1" s="55"/>
      <c r="G1" s="55"/>
      <c r="H1" s="55"/>
    </row>
    <row r="2" spans="1:8" ht="15.75" customHeight="1" x14ac:dyDescent="0.2">
      <c r="A2" s="55"/>
      <c r="B2" s="55"/>
      <c r="C2" s="55"/>
      <c r="D2" s="55"/>
      <c r="E2" s="55"/>
      <c r="F2" s="55"/>
      <c r="G2" s="55"/>
      <c r="H2" s="55"/>
    </row>
    <row r="3" spans="1:8" ht="9.75" customHeight="1" x14ac:dyDescent="0.2">
      <c r="A3" s="55"/>
      <c r="B3" s="55"/>
      <c r="C3" s="55"/>
      <c r="D3" s="55"/>
      <c r="E3" s="55"/>
      <c r="F3" s="55"/>
      <c r="G3" s="55"/>
      <c r="H3" s="55"/>
    </row>
    <row r="5" spans="1:8" x14ac:dyDescent="0.2">
      <c r="A5" s="4" t="s">
        <v>367</v>
      </c>
    </row>
    <row r="6" spans="1:8" x14ac:dyDescent="0.2">
      <c r="A6" s="65" t="s">
        <v>368</v>
      </c>
      <c r="B6" s="55"/>
      <c r="C6" s="55"/>
      <c r="D6" s="55"/>
      <c r="E6" s="55"/>
      <c r="F6" s="55"/>
      <c r="G6" s="55"/>
      <c r="H6" s="55"/>
    </row>
    <row r="7" spans="1:8" x14ac:dyDescent="0.2">
      <c r="A7" s="65" t="s">
        <v>369</v>
      </c>
      <c r="B7" s="55"/>
      <c r="C7" s="55"/>
      <c r="D7" s="55"/>
      <c r="E7" s="55"/>
      <c r="F7" s="55"/>
      <c r="G7" s="55"/>
      <c r="H7" s="55"/>
    </row>
    <row r="8" spans="1:8" x14ac:dyDescent="0.2">
      <c r="A8" s="65" t="s">
        <v>370</v>
      </c>
      <c r="B8" s="55"/>
      <c r="C8" s="55"/>
      <c r="D8" s="55"/>
      <c r="E8" s="55"/>
      <c r="F8" s="55"/>
      <c r="G8" s="55"/>
      <c r="H8" s="55"/>
    </row>
    <row r="10" spans="1:8" ht="19.5" customHeight="1" x14ac:dyDescent="0.2">
      <c r="A10" s="54" t="s">
        <v>371</v>
      </c>
      <c r="B10" s="55"/>
      <c r="C10" s="55"/>
      <c r="D10" s="55"/>
      <c r="E10" s="55"/>
      <c r="F10" s="55"/>
      <c r="G10" s="55"/>
      <c r="H10" s="55"/>
    </row>
    <row r="11" spans="1:8" ht="6" customHeight="1" x14ac:dyDescent="0.2">
      <c r="A11" s="5"/>
      <c r="B11" s="5"/>
      <c r="C11" s="5"/>
      <c r="D11" s="5"/>
      <c r="E11" s="5"/>
      <c r="F11" s="5"/>
      <c r="G11" s="5"/>
      <c r="H11" s="5"/>
    </row>
    <row r="12" spans="1:8" ht="13.5" customHeight="1" x14ac:dyDescent="0.2">
      <c r="A12" s="57" t="s">
        <v>372</v>
      </c>
      <c r="B12" s="58"/>
      <c r="C12" s="3" t="s">
        <v>373</v>
      </c>
      <c r="D12" s="57" t="s">
        <v>374</v>
      </c>
      <c r="E12" s="58"/>
      <c r="F12" s="3" t="s">
        <v>375</v>
      </c>
      <c r="G12" s="57" t="s">
        <v>376</v>
      </c>
      <c r="H12" s="58"/>
    </row>
    <row r="13" spans="1:8" ht="21.75" customHeight="1" x14ac:dyDescent="0.2">
      <c r="A13" s="70">
        <f>COUNTA(Holdings!#REF!)</f>
        <v>1</v>
      </c>
      <c r="B13" s="58"/>
      <c r="C13" s="6">
        <f>SUM(Holdings!G3:G52)</f>
        <v>1.0000000000000004</v>
      </c>
      <c r="D13" s="68">
        <f>AVERAGE(Holdings!F3:F52)</f>
        <v>614.95020000000011</v>
      </c>
      <c r="E13" s="58"/>
      <c r="F13" s="7">
        <f>SUMPRODUCT(Holdings!G3:G52,Holdings!N3:N52)</f>
        <v>0.95579999999999998</v>
      </c>
      <c r="G13" s="70">
        <f>COUNTIF(Holdings!O3:O52,"Yes")</f>
        <v>5</v>
      </c>
      <c r="H13" s="58"/>
    </row>
    <row r="14" spans="1:8" ht="12" customHeight="1" x14ac:dyDescent="0.2">
      <c r="A14" s="72" t="s">
        <v>377</v>
      </c>
      <c r="B14" s="58"/>
      <c r="C14" s="2" t="s">
        <v>378</v>
      </c>
      <c r="D14" s="72" t="s">
        <v>379</v>
      </c>
      <c r="E14" s="58"/>
      <c r="F14" s="2" t="s">
        <v>380</v>
      </c>
      <c r="G14" s="72" t="s">
        <v>381</v>
      </c>
      <c r="H14" s="58"/>
    </row>
    <row r="16" spans="1:8" ht="19.5" customHeight="1" x14ac:dyDescent="0.2">
      <c r="A16" s="54" t="s">
        <v>382</v>
      </c>
      <c r="B16" s="55"/>
      <c r="C16" s="55"/>
      <c r="D16" s="55"/>
      <c r="E16" s="55"/>
      <c r="F16" s="55"/>
      <c r="G16" s="55"/>
      <c r="H16" s="55"/>
    </row>
    <row r="17" spans="1:8" ht="15.75" customHeight="1" x14ac:dyDescent="0.2">
      <c r="A17" s="63" t="s">
        <v>8</v>
      </c>
      <c r="B17" s="55"/>
      <c r="C17" s="55"/>
      <c r="D17" s="1" t="s">
        <v>383</v>
      </c>
      <c r="E17" s="63" t="s">
        <v>384</v>
      </c>
      <c r="F17" s="55"/>
      <c r="G17" s="63" t="s">
        <v>385</v>
      </c>
      <c r="H17" s="55"/>
    </row>
    <row r="18" spans="1:8" x14ac:dyDescent="0.2">
      <c r="A18" s="61" t="s">
        <v>84</v>
      </c>
      <c r="B18" s="53"/>
      <c r="C18" s="53"/>
      <c r="D18" s="8">
        <f>COUNTIF(Holdings!$C$3:$C$52,A18)</f>
        <v>3</v>
      </c>
      <c r="E18" s="59">
        <f>SUMIF(Holdings!$C$3:$C$52,A18,Holdings!$G$3:$G$52)</f>
        <v>0.06</v>
      </c>
      <c r="F18" s="53"/>
      <c r="G18" s="69">
        <f t="shared" ref="G18:G28" si="0">E18</f>
        <v>0.06</v>
      </c>
      <c r="H18" s="53"/>
    </row>
    <row r="19" spans="1:8" x14ac:dyDescent="0.2">
      <c r="A19" s="52" t="s">
        <v>71</v>
      </c>
      <c r="B19" s="53"/>
      <c r="C19" s="53"/>
      <c r="D19" s="9">
        <f>COUNTIF(Holdings!$C$3:$C$52,A19)</f>
        <v>4</v>
      </c>
      <c r="E19" s="62">
        <f>SUMIF(Holdings!$C$3:$C$52,A19,Holdings!$G$3:$G$52)</f>
        <v>0.08</v>
      </c>
      <c r="F19" s="53"/>
      <c r="G19" s="56">
        <f t="shared" si="0"/>
        <v>0.08</v>
      </c>
      <c r="H19" s="53"/>
    </row>
    <row r="20" spans="1:8" x14ac:dyDescent="0.2">
      <c r="A20" s="61" t="s">
        <v>93</v>
      </c>
      <c r="B20" s="53"/>
      <c r="C20" s="53"/>
      <c r="D20" s="8">
        <f>COUNTIF(Holdings!$C$3:$C$52,A20)</f>
        <v>4</v>
      </c>
      <c r="E20" s="59">
        <f>SUMIF(Holdings!$C$3:$C$52,A20,Holdings!$G$3:$G$52)</f>
        <v>0.08</v>
      </c>
      <c r="F20" s="53"/>
      <c r="G20" s="69">
        <f t="shared" si="0"/>
        <v>0.08</v>
      </c>
      <c r="H20" s="53"/>
    </row>
    <row r="21" spans="1:8" x14ac:dyDescent="0.2">
      <c r="A21" s="52" t="s">
        <v>106</v>
      </c>
      <c r="B21" s="53"/>
      <c r="C21" s="53"/>
      <c r="D21" s="9">
        <f>COUNTIF(Holdings!$C$3:$C$52,A21)</f>
        <v>4</v>
      </c>
      <c r="E21" s="62">
        <f>SUMIF(Holdings!$C$3:$C$52,A21,Holdings!$G$3:$G$52)</f>
        <v>0.08</v>
      </c>
      <c r="F21" s="53"/>
      <c r="G21" s="56">
        <f t="shared" si="0"/>
        <v>0.08</v>
      </c>
      <c r="H21" s="53"/>
    </row>
    <row r="22" spans="1:8" x14ac:dyDescent="0.2">
      <c r="A22" s="61" t="s">
        <v>173</v>
      </c>
      <c r="B22" s="53"/>
      <c r="C22" s="53"/>
      <c r="D22" s="8">
        <f>COUNTIF(Holdings!$C$3:$C$52,A22)</f>
        <v>3</v>
      </c>
      <c r="E22" s="59">
        <f>SUMIF(Holdings!$C$3:$C$52,A22,Holdings!$G$3:$G$52)</f>
        <v>0.06</v>
      </c>
      <c r="F22" s="53"/>
      <c r="G22" s="69">
        <f t="shared" si="0"/>
        <v>0.06</v>
      </c>
      <c r="H22" s="53"/>
    </row>
    <row r="23" spans="1:8" x14ac:dyDescent="0.2">
      <c r="A23" s="52" t="s">
        <v>39</v>
      </c>
      <c r="B23" s="53"/>
      <c r="C23" s="53"/>
      <c r="D23" s="9">
        <f>COUNTIF(Holdings!$C$3:$C$52,A23)</f>
        <v>9</v>
      </c>
      <c r="E23" s="62">
        <f>SUMIF(Holdings!$C$3:$C$52,A23,Holdings!$G$3:$G$52)</f>
        <v>0.18</v>
      </c>
      <c r="F23" s="53"/>
      <c r="G23" s="56">
        <f t="shared" si="0"/>
        <v>0.18</v>
      </c>
      <c r="H23" s="53"/>
    </row>
    <row r="24" spans="1:8" x14ac:dyDescent="0.2">
      <c r="A24" s="61" t="s">
        <v>78</v>
      </c>
      <c r="B24" s="53"/>
      <c r="C24" s="53"/>
      <c r="D24" s="8">
        <f>COUNTIF(Holdings!$C$3:$C$52,A24)</f>
        <v>7</v>
      </c>
      <c r="E24" s="59">
        <f>SUMIF(Holdings!$C$3:$C$52,A24,Holdings!$G$3:$G$52)</f>
        <v>0.14000000000000001</v>
      </c>
      <c r="F24" s="53"/>
      <c r="G24" s="69">
        <f t="shared" si="0"/>
        <v>0.14000000000000001</v>
      </c>
      <c r="H24" s="53"/>
    </row>
    <row r="25" spans="1:8" x14ac:dyDescent="0.2">
      <c r="A25" s="52" t="s">
        <v>30</v>
      </c>
      <c r="B25" s="53"/>
      <c r="C25" s="53"/>
      <c r="D25" s="9">
        <f>COUNTIF(Holdings!$C$3:$C$52,A25)</f>
        <v>12</v>
      </c>
      <c r="E25" s="62">
        <f>SUMIF(Holdings!$C$3:$C$52,A25,Holdings!$G$3:$G$52)</f>
        <v>0.23999999999999996</v>
      </c>
      <c r="F25" s="53"/>
      <c r="G25" s="56">
        <f t="shared" si="0"/>
        <v>0.23999999999999996</v>
      </c>
      <c r="H25" s="53"/>
    </row>
    <row r="26" spans="1:8" x14ac:dyDescent="0.2">
      <c r="A26" s="61" t="s">
        <v>118</v>
      </c>
      <c r="B26" s="53"/>
      <c r="C26" s="53"/>
      <c r="D26" s="8">
        <f>COUNTIF(Holdings!$C$3:$C$52,A26)</f>
        <v>2</v>
      </c>
      <c r="E26" s="59">
        <f>SUMIF(Holdings!$C$3:$C$52,A26,Holdings!$G$3:$G$52)</f>
        <v>0.04</v>
      </c>
      <c r="F26" s="53"/>
      <c r="G26" s="69">
        <f t="shared" si="0"/>
        <v>0.04</v>
      </c>
      <c r="H26" s="53"/>
    </row>
    <row r="27" spans="1:8" x14ac:dyDescent="0.2">
      <c r="A27" s="52" t="s">
        <v>309</v>
      </c>
      <c r="B27" s="53"/>
      <c r="C27" s="53"/>
      <c r="D27" s="9">
        <f>COUNTIF(Holdings!$C$3:$C$52,A27)</f>
        <v>1</v>
      </c>
      <c r="E27" s="62">
        <f>SUMIF(Holdings!$C$3:$C$52,A27,Holdings!$G$3:$G$52)</f>
        <v>0.02</v>
      </c>
      <c r="F27" s="53"/>
      <c r="G27" s="56">
        <f t="shared" si="0"/>
        <v>0.02</v>
      </c>
      <c r="H27" s="53"/>
    </row>
    <row r="28" spans="1:8" x14ac:dyDescent="0.2">
      <c r="A28" s="61" t="s">
        <v>256</v>
      </c>
      <c r="B28" s="53"/>
      <c r="C28" s="53"/>
      <c r="D28" s="8">
        <f>COUNTIF(Holdings!$C$3:$C$52,A28)</f>
        <v>1</v>
      </c>
      <c r="E28" s="59">
        <f>SUMIF(Holdings!$C$3:$C$52,A28,Holdings!$G$3:$G$52)</f>
        <v>0.02</v>
      </c>
      <c r="F28" s="53"/>
      <c r="G28" s="69">
        <f t="shared" si="0"/>
        <v>0.02</v>
      </c>
      <c r="H28" s="53"/>
    </row>
    <row r="29" spans="1:8" x14ac:dyDescent="0.2">
      <c r="A29" s="71" t="s">
        <v>386</v>
      </c>
      <c r="B29" s="67"/>
      <c r="C29" s="67"/>
      <c r="D29" s="10">
        <f>SUM(D18:D28)</f>
        <v>50</v>
      </c>
      <c r="E29" s="66">
        <f>SUM(E18:E28)</f>
        <v>1</v>
      </c>
      <c r="F29" s="67"/>
      <c r="G29" s="73"/>
      <c r="H29" s="67"/>
    </row>
    <row r="48" spans="1:8" ht="19.5" customHeight="1" x14ac:dyDescent="0.2">
      <c r="A48" s="54" t="s">
        <v>387</v>
      </c>
      <c r="B48" s="55"/>
      <c r="C48" s="55"/>
      <c r="D48" s="55"/>
      <c r="E48" s="55"/>
      <c r="F48" s="55"/>
      <c r="G48" s="55"/>
      <c r="H48" s="55"/>
    </row>
    <row r="49" spans="1:8" x14ac:dyDescent="0.2">
      <c r="A49" s="60" t="s">
        <v>388</v>
      </c>
      <c r="B49" s="55"/>
      <c r="C49" s="55"/>
      <c r="D49" s="55"/>
      <c r="E49" s="55"/>
      <c r="F49" s="55"/>
      <c r="G49" s="55"/>
      <c r="H49" s="55"/>
    </row>
    <row r="50" spans="1:8" x14ac:dyDescent="0.2">
      <c r="A50" s="60" t="s">
        <v>389</v>
      </c>
      <c r="B50" s="55"/>
      <c r="C50" s="55"/>
      <c r="D50" s="55"/>
      <c r="E50" s="55"/>
      <c r="F50" s="55"/>
      <c r="G50" s="55"/>
      <c r="H50" s="55"/>
    </row>
    <row r="51" spans="1:8" x14ac:dyDescent="0.2">
      <c r="A51" s="60" t="s">
        <v>390</v>
      </c>
      <c r="B51" s="55"/>
      <c r="C51" s="55"/>
      <c r="D51" s="55"/>
      <c r="E51" s="55"/>
      <c r="F51" s="55"/>
      <c r="G51" s="55"/>
      <c r="H51" s="55"/>
    </row>
    <row r="52" spans="1:8" x14ac:dyDescent="0.2">
      <c r="A52" s="60" t="s">
        <v>391</v>
      </c>
      <c r="B52" s="55"/>
      <c r="C52" s="55"/>
      <c r="D52" s="55"/>
      <c r="E52" s="55"/>
      <c r="F52" s="55"/>
      <c r="G52" s="55"/>
      <c r="H52" s="55"/>
    </row>
    <row r="53" spans="1:8" x14ac:dyDescent="0.2">
      <c r="A53" s="60" t="s">
        <v>392</v>
      </c>
      <c r="B53" s="55"/>
      <c r="C53" s="55"/>
      <c r="D53" s="55"/>
      <c r="E53" s="55"/>
      <c r="F53" s="55"/>
      <c r="G53" s="55"/>
      <c r="H53" s="55"/>
    </row>
    <row r="54" spans="1:8" x14ac:dyDescent="0.2">
      <c r="A54" s="60" t="s">
        <v>393</v>
      </c>
      <c r="B54" s="55"/>
      <c r="C54" s="55"/>
      <c r="D54" s="55"/>
      <c r="E54" s="55"/>
      <c r="F54" s="55"/>
      <c r="G54" s="55"/>
      <c r="H54" s="55"/>
    </row>
    <row r="55" spans="1:8" x14ac:dyDescent="0.2">
      <c r="A55" s="60" t="s">
        <v>394</v>
      </c>
      <c r="B55" s="55"/>
      <c r="C55" s="55"/>
      <c r="D55" s="55"/>
      <c r="E55" s="55"/>
      <c r="F55" s="55"/>
      <c r="G55" s="55"/>
      <c r="H55" s="55"/>
    </row>
  </sheetData>
  <mergeCells count="62">
    <mergeCell ref="A55:H55"/>
    <mergeCell ref="G24:H24"/>
    <mergeCell ref="E27:F27"/>
    <mergeCell ref="A14:B14"/>
    <mergeCell ref="G14:H14"/>
    <mergeCell ref="E26:F26"/>
    <mergeCell ref="G26:H26"/>
    <mergeCell ref="A24:C24"/>
    <mergeCell ref="G29:H29"/>
    <mergeCell ref="G20:H20"/>
    <mergeCell ref="A53:H53"/>
    <mergeCell ref="E25:F25"/>
    <mergeCell ref="G25:H25"/>
    <mergeCell ref="A52:H52"/>
    <mergeCell ref="D14:E14"/>
    <mergeCell ref="E22:F22"/>
    <mergeCell ref="A54:H54"/>
    <mergeCell ref="E19:F19"/>
    <mergeCell ref="A16:H16"/>
    <mergeCell ref="A22:C22"/>
    <mergeCell ref="G19:H19"/>
    <mergeCell ref="E28:F28"/>
    <mergeCell ref="A17:C17"/>
    <mergeCell ref="G28:H28"/>
    <mergeCell ref="A29:C29"/>
    <mergeCell ref="G18:H18"/>
    <mergeCell ref="A20:C20"/>
    <mergeCell ref="A50:H50"/>
    <mergeCell ref="A28:C28"/>
    <mergeCell ref="A19:C19"/>
    <mergeCell ref="G22:H22"/>
    <mergeCell ref="E18:F18"/>
    <mergeCell ref="A1:H3"/>
    <mergeCell ref="G17:H17"/>
    <mergeCell ref="A6:H6"/>
    <mergeCell ref="E20:F20"/>
    <mergeCell ref="E29:F29"/>
    <mergeCell ref="A23:C23"/>
    <mergeCell ref="A7:H7"/>
    <mergeCell ref="D13:E13"/>
    <mergeCell ref="G13:H13"/>
    <mergeCell ref="A12:B12"/>
    <mergeCell ref="A8:H8"/>
    <mergeCell ref="D12:E12"/>
    <mergeCell ref="A10:H10"/>
    <mergeCell ref="A13:B13"/>
    <mergeCell ref="E21:F21"/>
    <mergeCell ref="A51:H51"/>
    <mergeCell ref="G27:H27"/>
    <mergeCell ref="A18:C18"/>
    <mergeCell ref="A27:C27"/>
    <mergeCell ref="E23:F23"/>
    <mergeCell ref="A49:H49"/>
    <mergeCell ref="G23:H23"/>
    <mergeCell ref="A21:C21"/>
    <mergeCell ref="A26:C26"/>
    <mergeCell ref="A25:C25"/>
    <mergeCell ref="A48:H48"/>
    <mergeCell ref="G21:H21"/>
    <mergeCell ref="G12:H12"/>
    <mergeCell ref="E24:F24"/>
    <mergeCell ref="E17:F17"/>
  </mergeCells>
  <conditionalFormatting sqref="G18:H28">
    <cfRule type="dataBar" priority="2">
      <dataBar showValue="0">
        <cfvo type="num" val="0"/>
        <cfvo type="max"/>
        <color rgb="FF24476A"/>
      </dataBar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showGridLines="0" zoomScale="110" zoomScaleNormal="110" workbookViewId="0">
      <pane xSplit="5" ySplit="2" topLeftCell="F3" activePane="bottomRight" state="frozen"/>
      <selection pane="topRight" activeCell="E1" sqref="E1"/>
      <selection pane="bottomLeft" activeCell="A39" sqref="A39"/>
      <selection pane="bottomRight" activeCell="I9" sqref="I9"/>
    </sheetView>
  </sheetViews>
  <sheetFormatPr baseColWidth="10" defaultColWidth="8.83203125" defaultRowHeight="15" x14ac:dyDescent="0.2"/>
  <cols>
    <col min="1" max="1" width="8.83203125" style="35" customWidth="1"/>
    <col min="2" max="2" width="9" customWidth="1"/>
    <col min="3" max="3" width="22" customWidth="1"/>
    <col min="4" max="4" width="24.6640625" customWidth="1"/>
    <col min="5" max="5" width="30" customWidth="1"/>
    <col min="6" max="6" width="15" customWidth="1"/>
    <col min="7" max="7" width="12" customWidth="1"/>
    <col min="8" max="8" width="11" customWidth="1"/>
    <col min="9" max="9" width="10" customWidth="1"/>
    <col min="10" max="10" width="13" customWidth="1"/>
    <col min="11" max="11" width="11" customWidth="1"/>
    <col min="12" max="12" width="14" customWidth="1"/>
    <col min="13" max="13" width="15" customWidth="1"/>
    <col min="14" max="15" width="10" customWidth="1"/>
    <col min="16" max="16" width="46" customWidth="1"/>
    <col min="17" max="17" width="40" customWidth="1"/>
    <col min="18" max="18" width="22" customWidth="1"/>
    <col min="19" max="19" width="26" customWidth="1"/>
    <col min="20" max="20" width="20" customWidth="1"/>
    <col min="21" max="21" width="12" customWidth="1"/>
    <col min="22" max="22" width="30" customWidth="1"/>
    <col min="23" max="23" width="22" customWidth="1"/>
  </cols>
  <sheetData>
    <row r="1" spans="1:23" ht="15.75" customHeight="1" thickBot="1" x14ac:dyDescent="0.25">
      <c r="A1" s="34"/>
      <c r="B1" s="11"/>
      <c r="C1" s="49" t="s">
        <v>0</v>
      </c>
      <c r="D1" s="50"/>
      <c r="E1" s="50"/>
      <c r="F1" s="51" t="s">
        <v>1</v>
      </c>
      <c r="G1" s="50"/>
      <c r="H1" s="49" t="s">
        <v>2</v>
      </c>
      <c r="I1" s="50"/>
      <c r="J1" s="50"/>
      <c r="K1" s="50"/>
      <c r="L1" s="50"/>
      <c r="M1" s="50"/>
      <c r="N1" s="50"/>
      <c r="O1" s="12" t="s">
        <v>3</v>
      </c>
      <c r="P1" s="49" t="s">
        <v>4</v>
      </c>
      <c r="Q1" s="50"/>
      <c r="R1" s="51" t="s">
        <v>5</v>
      </c>
      <c r="S1" s="50"/>
      <c r="T1" s="50"/>
      <c r="U1" s="49" t="s">
        <v>6</v>
      </c>
      <c r="V1" s="50"/>
      <c r="W1" s="50"/>
    </row>
    <row r="2" spans="1:23" ht="30" customHeight="1" thickBot="1" x14ac:dyDescent="0.25">
      <c r="A2" s="13"/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13" t="s">
        <v>26</v>
      </c>
      <c r="V2" s="13" t="s">
        <v>27</v>
      </c>
      <c r="W2" s="13" t="s">
        <v>28</v>
      </c>
    </row>
    <row r="3" spans="1:23" ht="27.75" customHeight="1" x14ac:dyDescent="0.2">
      <c r="A3" s="36">
        <v>1</v>
      </c>
      <c r="B3" s="14" t="s">
        <v>29</v>
      </c>
      <c r="C3" s="15" t="s">
        <v>30</v>
      </c>
      <c r="D3" s="15"/>
      <c r="E3" s="15" t="s">
        <v>31</v>
      </c>
      <c r="F3" s="16">
        <v>4712.3900000000003</v>
      </c>
      <c r="G3" s="17">
        <v>0.02</v>
      </c>
      <c r="H3" s="18">
        <v>37.020000000000003</v>
      </c>
      <c r="I3" s="19">
        <v>0.7208</v>
      </c>
      <c r="J3" s="19">
        <v>1.8100000000000002E-2</v>
      </c>
      <c r="K3" s="20">
        <v>0.78</v>
      </c>
      <c r="L3" s="19">
        <v>0.23799999999999999</v>
      </c>
      <c r="M3" s="19">
        <v>0.13439999999999999</v>
      </c>
      <c r="N3" s="21">
        <v>1.08</v>
      </c>
      <c r="O3" s="15" t="s">
        <v>32</v>
      </c>
      <c r="P3" s="22" t="s">
        <v>33</v>
      </c>
      <c r="Q3" s="22" t="s">
        <v>34</v>
      </c>
      <c r="R3" s="15"/>
      <c r="S3" s="15" t="s">
        <v>32</v>
      </c>
      <c r="T3" s="15" t="s">
        <v>35</v>
      </c>
      <c r="U3" s="23">
        <v>46275</v>
      </c>
      <c r="V3" s="15" t="s">
        <v>36</v>
      </c>
      <c r="W3" s="15" t="s">
        <v>37</v>
      </c>
    </row>
    <row r="4" spans="1:23" ht="27.75" customHeight="1" x14ac:dyDescent="0.2">
      <c r="A4" s="37">
        <v>2</v>
      </c>
      <c r="B4" s="24" t="s">
        <v>38</v>
      </c>
      <c r="C4" s="25" t="s">
        <v>39</v>
      </c>
      <c r="D4" s="25"/>
      <c r="E4" s="25" t="s">
        <v>40</v>
      </c>
      <c r="F4" s="16">
        <v>180.77</v>
      </c>
      <c r="G4" s="26">
        <v>0.02</v>
      </c>
      <c r="H4" s="27">
        <v>33.770000000000003</v>
      </c>
      <c r="I4" s="19">
        <v>6.7000000000000004E-2</v>
      </c>
      <c r="J4" s="28">
        <v>5.1000000000000004E-3</v>
      </c>
      <c r="K4" s="29">
        <v>0.64</v>
      </c>
      <c r="L4" s="19">
        <v>-5.2400000000000002E-2</v>
      </c>
      <c r="M4" s="19">
        <v>-1.43E-2</v>
      </c>
      <c r="N4" s="30">
        <v>0.57999999999999996</v>
      </c>
      <c r="O4" s="25" t="s">
        <v>32</v>
      </c>
      <c r="P4" s="31" t="s">
        <v>41</v>
      </c>
      <c r="Q4" s="31" t="s">
        <v>42</v>
      </c>
      <c r="R4" s="25"/>
      <c r="S4" s="25" t="s">
        <v>32</v>
      </c>
      <c r="T4" s="25" t="s">
        <v>43</v>
      </c>
      <c r="U4" s="32">
        <v>46275</v>
      </c>
      <c r="V4" s="25" t="s">
        <v>44</v>
      </c>
      <c r="W4" s="25" t="s">
        <v>37</v>
      </c>
    </row>
    <row r="5" spans="1:23" ht="27.75" customHeight="1" x14ac:dyDescent="0.2">
      <c r="A5" s="36">
        <v>3</v>
      </c>
      <c r="B5" s="14" t="s">
        <v>45</v>
      </c>
      <c r="C5" s="15" t="s">
        <v>30</v>
      </c>
      <c r="D5" s="15" t="s">
        <v>46</v>
      </c>
      <c r="E5" s="15" t="s">
        <v>47</v>
      </c>
      <c r="F5" s="16">
        <v>100.37</v>
      </c>
      <c r="G5" s="17">
        <v>0.02</v>
      </c>
      <c r="H5" s="18">
        <v>14.44</v>
      </c>
      <c r="I5" s="19">
        <v>0.43419999999999997</v>
      </c>
      <c r="J5" s="19">
        <v>0.1089</v>
      </c>
      <c r="K5" s="20">
        <v>0.61</v>
      </c>
      <c r="L5" s="19">
        <v>-7.7399999999999997E-2</v>
      </c>
      <c r="M5" s="19">
        <v>-5.4199999999999998E-2</v>
      </c>
      <c r="N5" s="21">
        <v>1.41</v>
      </c>
      <c r="O5" s="15" t="s">
        <v>32</v>
      </c>
      <c r="P5" s="22" t="s">
        <v>48</v>
      </c>
      <c r="Q5" s="22" t="s">
        <v>49</v>
      </c>
      <c r="R5" s="15" t="s">
        <v>50</v>
      </c>
      <c r="S5" s="15" t="s">
        <v>51</v>
      </c>
      <c r="T5" s="15" t="s">
        <v>52</v>
      </c>
      <c r="U5" s="23">
        <v>46275</v>
      </c>
      <c r="V5" s="15" t="s">
        <v>53</v>
      </c>
      <c r="W5" s="15" t="s">
        <v>54</v>
      </c>
    </row>
    <row r="6" spans="1:23" ht="27.75" customHeight="1" x14ac:dyDescent="0.2">
      <c r="A6" s="37">
        <v>4</v>
      </c>
      <c r="B6" s="24" t="s">
        <v>55</v>
      </c>
      <c r="C6" s="25" t="s">
        <v>39</v>
      </c>
      <c r="D6" s="25" t="s">
        <v>56</v>
      </c>
      <c r="E6" s="25" t="s">
        <v>57</v>
      </c>
      <c r="F6" s="33">
        <v>2.21</v>
      </c>
      <c r="G6" s="26">
        <v>0.02</v>
      </c>
      <c r="H6" s="27">
        <v>20.77</v>
      </c>
      <c r="I6" s="28">
        <v>8.4699999999999998E-2</v>
      </c>
      <c r="J6" s="28">
        <v>0.14360000000000001</v>
      </c>
      <c r="K6" s="29">
        <v>0.09</v>
      </c>
      <c r="L6" s="28">
        <v>0.1492</v>
      </c>
      <c r="M6" s="28">
        <v>0.1197</v>
      </c>
      <c r="N6" s="30">
        <v>0.82</v>
      </c>
      <c r="O6" s="25" t="s">
        <v>58</v>
      </c>
      <c r="P6" s="31" t="s">
        <v>59</v>
      </c>
      <c r="Q6" s="31" t="s">
        <v>60</v>
      </c>
      <c r="R6" s="25" t="s">
        <v>50</v>
      </c>
      <c r="S6" s="25" t="s">
        <v>51</v>
      </c>
      <c r="T6" s="25" t="s">
        <v>61</v>
      </c>
      <c r="U6" s="32">
        <v>46275</v>
      </c>
      <c r="V6" s="25" t="s">
        <v>62</v>
      </c>
      <c r="W6" s="25" t="s">
        <v>54</v>
      </c>
    </row>
    <row r="7" spans="1:23" ht="27.75" customHeight="1" x14ac:dyDescent="0.2">
      <c r="A7" s="36">
        <v>5</v>
      </c>
      <c r="B7" s="14" t="s">
        <v>63</v>
      </c>
      <c r="C7" s="15" t="s">
        <v>39</v>
      </c>
      <c r="D7" s="15" t="s">
        <v>64</v>
      </c>
      <c r="E7" s="15" t="s">
        <v>65</v>
      </c>
      <c r="F7" s="33">
        <v>207.71</v>
      </c>
      <c r="G7" s="17">
        <v>0.02</v>
      </c>
      <c r="H7" s="18">
        <v>23.87</v>
      </c>
      <c r="I7" s="28">
        <v>0.1376</v>
      </c>
      <c r="J7" s="19">
        <v>0.12089999999999999</v>
      </c>
      <c r="K7" s="20">
        <v>4.9000000000000004</v>
      </c>
      <c r="L7" s="28">
        <v>1.7299999999999999E-2</v>
      </c>
      <c r="M7" s="28">
        <v>6.9599999999999995E-2</v>
      </c>
      <c r="N7" s="21">
        <v>0.42</v>
      </c>
      <c r="O7" s="15" t="s">
        <v>32</v>
      </c>
      <c r="P7" s="22" t="s">
        <v>66</v>
      </c>
      <c r="Q7" s="22" t="s">
        <v>67</v>
      </c>
      <c r="R7" s="15" t="s">
        <v>50</v>
      </c>
      <c r="S7" s="15" t="s">
        <v>51</v>
      </c>
      <c r="T7" s="15" t="s">
        <v>61</v>
      </c>
      <c r="U7" s="23">
        <v>46275</v>
      </c>
      <c r="V7" s="15" t="s">
        <v>68</v>
      </c>
      <c r="W7" s="15" t="s">
        <v>69</v>
      </c>
    </row>
    <row r="8" spans="1:23" ht="27.75" customHeight="1" x14ac:dyDescent="0.2">
      <c r="A8" s="37">
        <v>6</v>
      </c>
      <c r="B8" s="24" t="s">
        <v>70</v>
      </c>
      <c r="C8" s="25" t="s">
        <v>71</v>
      </c>
      <c r="D8" s="25"/>
      <c r="E8" s="25" t="s">
        <v>72</v>
      </c>
      <c r="F8" s="16">
        <v>2720.36</v>
      </c>
      <c r="G8" s="26">
        <v>0.02</v>
      </c>
      <c r="H8" s="27">
        <v>20.29</v>
      </c>
      <c r="I8" s="19">
        <v>0.17460000000000001</v>
      </c>
      <c r="J8" s="28">
        <v>0.1173</v>
      </c>
      <c r="K8" s="29">
        <v>0.44</v>
      </c>
      <c r="L8" s="19">
        <v>0.186</v>
      </c>
      <c r="M8" s="19">
        <v>5.2499999999999998E-2</v>
      </c>
      <c r="N8" s="30">
        <v>1.45</v>
      </c>
      <c r="O8" s="25" t="s">
        <v>32</v>
      </c>
      <c r="P8" s="31" t="s">
        <v>73</v>
      </c>
      <c r="Q8" s="31" t="s">
        <v>74</v>
      </c>
      <c r="R8" s="25"/>
      <c r="S8" s="25" t="s">
        <v>32</v>
      </c>
      <c r="T8" s="25" t="s">
        <v>43</v>
      </c>
      <c r="U8" s="32">
        <v>46275</v>
      </c>
      <c r="V8" s="25" t="s">
        <v>75</v>
      </c>
      <c r="W8" s="25" t="s">
        <v>76</v>
      </c>
    </row>
    <row r="9" spans="1:23" ht="27.75" customHeight="1" x14ac:dyDescent="0.2">
      <c r="A9" s="36">
        <v>7</v>
      </c>
      <c r="B9" s="14" t="s">
        <v>77</v>
      </c>
      <c r="C9" s="15" t="s">
        <v>78</v>
      </c>
      <c r="D9" s="15"/>
      <c r="E9" s="15" t="s">
        <v>79</v>
      </c>
      <c r="F9" s="16">
        <v>370.86</v>
      </c>
      <c r="G9" s="17">
        <v>0.02</v>
      </c>
      <c r="H9" s="18">
        <v>34.700000000000003</v>
      </c>
      <c r="I9" s="19">
        <v>0.21079999999999999</v>
      </c>
      <c r="J9" s="19">
        <v>4.3799999999999999E-2</v>
      </c>
      <c r="K9" s="20">
        <v>2.33</v>
      </c>
      <c r="L9" s="19">
        <v>0.14019999999999999</v>
      </c>
      <c r="M9" s="19">
        <v>3.8100000000000002E-2</v>
      </c>
      <c r="N9" s="21">
        <v>1.58</v>
      </c>
      <c r="O9" s="15" t="s">
        <v>32</v>
      </c>
      <c r="P9" s="22" t="s">
        <v>80</v>
      </c>
      <c r="Q9" s="22" t="s">
        <v>81</v>
      </c>
      <c r="R9" s="15"/>
      <c r="S9" s="15" t="s">
        <v>32</v>
      </c>
      <c r="T9" s="15" t="s">
        <v>43</v>
      </c>
      <c r="U9" s="23">
        <v>46275</v>
      </c>
      <c r="V9" s="15" t="s">
        <v>82</v>
      </c>
      <c r="W9" s="15" t="s">
        <v>37</v>
      </c>
    </row>
    <row r="10" spans="1:23" ht="27.75" customHeight="1" x14ac:dyDescent="0.2">
      <c r="A10" s="37">
        <v>8</v>
      </c>
      <c r="B10" s="24" t="s">
        <v>83</v>
      </c>
      <c r="C10" s="25" t="s">
        <v>84</v>
      </c>
      <c r="D10" s="25" t="s">
        <v>85</v>
      </c>
      <c r="E10" s="25" t="s">
        <v>86</v>
      </c>
      <c r="F10" s="33">
        <v>89.04</v>
      </c>
      <c r="G10" s="26">
        <v>0.02</v>
      </c>
      <c r="H10" s="27">
        <v>8.1199999999999992</v>
      </c>
      <c r="I10" s="28">
        <v>6.4399999999999999E-2</v>
      </c>
      <c r="J10" s="28">
        <v>6.1999999999999998E-3</v>
      </c>
      <c r="K10" s="29">
        <v>1.01</v>
      </c>
      <c r="L10" s="28">
        <v>-0.17929999999999999</v>
      </c>
      <c r="M10" s="28">
        <v>-6.7799999999999999E-2</v>
      </c>
      <c r="N10" s="30">
        <v>0.66</v>
      </c>
      <c r="O10" s="25" t="s">
        <v>32</v>
      </c>
      <c r="P10" s="31" t="s">
        <v>87</v>
      </c>
      <c r="Q10" s="31" t="s">
        <v>88</v>
      </c>
      <c r="R10" s="25" t="s">
        <v>50</v>
      </c>
      <c r="S10" s="25" t="s">
        <v>89</v>
      </c>
      <c r="T10" s="25" t="s">
        <v>61</v>
      </c>
      <c r="U10" s="32">
        <v>46275</v>
      </c>
      <c r="V10" s="25" t="s">
        <v>90</v>
      </c>
      <c r="W10" s="25" t="s">
        <v>91</v>
      </c>
    </row>
    <row r="11" spans="1:23" ht="27.75" customHeight="1" x14ac:dyDescent="0.2">
      <c r="A11" s="36">
        <v>9</v>
      </c>
      <c r="B11" s="14" t="s">
        <v>92</v>
      </c>
      <c r="C11" s="15" t="s">
        <v>93</v>
      </c>
      <c r="D11" s="15"/>
      <c r="E11" s="15" t="s">
        <v>94</v>
      </c>
      <c r="F11" s="33">
        <v>400.35</v>
      </c>
      <c r="G11" s="17">
        <v>0.02</v>
      </c>
      <c r="H11" s="18">
        <v>45.41</v>
      </c>
      <c r="I11" s="28">
        <v>0.2122</v>
      </c>
      <c r="J11" s="19">
        <v>6.6400000000000001E-2</v>
      </c>
      <c r="K11" s="20">
        <v>0.25</v>
      </c>
      <c r="L11" s="28">
        <v>-9.0200000000000002E-2</v>
      </c>
      <c r="M11" s="28">
        <v>-6.0100000000000001E-2</v>
      </c>
      <c r="N11" s="21">
        <v>0.88</v>
      </c>
      <c r="O11" s="15" t="s">
        <v>32</v>
      </c>
      <c r="P11" s="22" t="s">
        <v>95</v>
      </c>
      <c r="Q11" s="22" t="s">
        <v>96</v>
      </c>
      <c r="R11" s="15"/>
      <c r="S11" s="15" t="s">
        <v>32</v>
      </c>
      <c r="T11" s="15" t="s">
        <v>97</v>
      </c>
      <c r="U11" s="23">
        <v>46275</v>
      </c>
      <c r="V11" s="15" t="s">
        <v>98</v>
      </c>
      <c r="W11" s="15" t="s">
        <v>76</v>
      </c>
    </row>
    <row r="12" spans="1:23" ht="27.75" customHeight="1" x14ac:dyDescent="0.2">
      <c r="A12" s="37">
        <v>10</v>
      </c>
      <c r="B12" s="24" t="s">
        <v>99</v>
      </c>
      <c r="C12" s="25" t="s">
        <v>30</v>
      </c>
      <c r="D12" s="25"/>
      <c r="E12" s="25" t="s">
        <v>100</v>
      </c>
      <c r="F12" s="33">
        <v>429.66</v>
      </c>
      <c r="G12" s="26">
        <v>0.02</v>
      </c>
      <c r="H12" s="27">
        <v>32.74</v>
      </c>
      <c r="I12" s="28">
        <v>0.18709999999999999</v>
      </c>
      <c r="J12" s="28">
        <v>3.5700000000000003E-2</v>
      </c>
      <c r="K12" s="29">
        <v>0.62</v>
      </c>
      <c r="L12" s="28">
        <v>0.39539999999999997</v>
      </c>
      <c r="M12" s="28">
        <v>0.14430000000000001</v>
      </c>
      <c r="N12" s="30">
        <v>0.98</v>
      </c>
      <c r="O12" s="25" t="s">
        <v>32</v>
      </c>
      <c r="P12" s="31" t="s">
        <v>101</v>
      </c>
      <c r="Q12" s="31" t="s">
        <v>102</v>
      </c>
      <c r="R12" s="25"/>
      <c r="S12" s="25" t="s">
        <v>32</v>
      </c>
      <c r="T12" s="25" t="s">
        <v>103</v>
      </c>
      <c r="U12" s="32">
        <v>46275</v>
      </c>
      <c r="V12" s="25" t="s">
        <v>104</v>
      </c>
      <c r="W12" s="25" t="s">
        <v>37</v>
      </c>
    </row>
    <row r="13" spans="1:23" ht="27.75" customHeight="1" x14ac:dyDescent="0.2">
      <c r="A13" s="36">
        <v>11</v>
      </c>
      <c r="B13" s="14" t="s">
        <v>105</v>
      </c>
      <c r="C13" s="15" t="s">
        <v>106</v>
      </c>
      <c r="D13" s="15" t="s">
        <v>107</v>
      </c>
      <c r="E13" s="15" t="s">
        <v>108</v>
      </c>
      <c r="F13" s="16">
        <v>419.54</v>
      </c>
      <c r="G13" s="17">
        <v>0.02</v>
      </c>
      <c r="H13" s="18">
        <v>20.36</v>
      </c>
      <c r="I13" s="19">
        <v>9.0899999999999995E-2</v>
      </c>
      <c r="J13" s="19">
        <v>-7.9200000000000007E-2</v>
      </c>
      <c r="K13" s="20">
        <v>0.2</v>
      </c>
      <c r="L13" s="19">
        <v>0.1071</v>
      </c>
      <c r="M13" s="19">
        <v>0.1666</v>
      </c>
      <c r="N13" s="21">
        <v>0.52</v>
      </c>
      <c r="O13" s="15" t="s">
        <v>32</v>
      </c>
      <c r="P13" s="22" t="s">
        <v>109</v>
      </c>
      <c r="Q13" s="22" t="s">
        <v>110</v>
      </c>
      <c r="R13" s="15" t="s">
        <v>50</v>
      </c>
      <c r="S13" s="15" t="s">
        <v>51</v>
      </c>
      <c r="T13" s="15" t="s">
        <v>61</v>
      </c>
      <c r="U13" s="23">
        <v>46275</v>
      </c>
      <c r="V13" s="15" t="s">
        <v>111</v>
      </c>
      <c r="W13" s="15" t="s">
        <v>91</v>
      </c>
    </row>
    <row r="14" spans="1:23" ht="27.75" customHeight="1" x14ac:dyDescent="0.2">
      <c r="A14" s="37">
        <v>12</v>
      </c>
      <c r="B14" s="24" t="s">
        <v>112</v>
      </c>
      <c r="C14" s="25" t="s">
        <v>84</v>
      </c>
      <c r="D14" s="25"/>
      <c r="E14" s="25" t="s">
        <v>113</v>
      </c>
      <c r="F14" s="16">
        <v>180.22</v>
      </c>
      <c r="G14" s="26">
        <v>0.02</v>
      </c>
      <c r="H14" s="27">
        <v>21.53</v>
      </c>
      <c r="I14" s="19">
        <v>5.8299999999999998E-2</v>
      </c>
      <c r="J14" s="28">
        <v>4.48E-2</v>
      </c>
      <c r="K14" s="29">
        <v>0.42</v>
      </c>
      <c r="L14" s="19">
        <v>3.4500000000000003E-2</v>
      </c>
      <c r="M14" s="19">
        <v>4.0000000000000001E-3</v>
      </c>
      <c r="N14" s="30">
        <v>1.42</v>
      </c>
      <c r="O14" s="25" t="s">
        <v>32</v>
      </c>
      <c r="P14" s="31" t="s">
        <v>114</v>
      </c>
      <c r="Q14" s="31" t="s">
        <v>115</v>
      </c>
      <c r="R14" s="25"/>
      <c r="S14" s="25" t="s">
        <v>32</v>
      </c>
      <c r="T14" s="25" t="s">
        <v>35</v>
      </c>
      <c r="U14" s="32">
        <v>46275</v>
      </c>
      <c r="V14" s="25" t="s">
        <v>116</v>
      </c>
      <c r="W14" s="25" t="s">
        <v>37</v>
      </c>
    </row>
    <row r="15" spans="1:23" ht="27.75" customHeight="1" x14ac:dyDescent="0.2">
      <c r="A15" s="36">
        <v>13</v>
      </c>
      <c r="B15" s="14" t="s">
        <v>117</v>
      </c>
      <c r="C15" s="15" t="s">
        <v>118</v>
      </c>
      <c r="D15" s="15" t="s">
        <v>119</v>
      </c>
      <c r="E15" s="15" t="s">
        <v>120</v>
      </c>
      <c r="F15" s="16">
        <v>75.47</v>
      </c>
      <c r="G15" s="17">
        <v>0.02</v>
      </c>
      <c r="H15" s="18">
        <v>36.11</v>
      </c>
      <c r="I15" s="19">
        <v>9.3899999999999997E-2</v>
      </c>
      <c r="J15" s="19">
        <v>4.2599999999999999E-2</v>
      </c>
      <c r="K15" s="20">
        <v>1.38</v>
      </c>
      <c r="L15" s="19">
        <v>-2.81E-2</v>
      </c>
      <c r="M15" s="19">
        <v>-1.41E-2</v>
      </c>
      <c r="N15" s="21">
        <v>0.88</v>
      </c>
      <c r="O15" s="15" t="s">
        <v>32</v>
      </c>
      <c r="P15" s="22" t="s">
        <v>121</v>
      </c>
      <c r="Q15" s="22" t="s">
        <v>122</v>
      </c>
      <c r="R15" s="15" t="s">
        <v>123</v>
      </c>
      <c r="S15" s="15" t="s">
        <v>124</v>
      </c>
      <c r="T15" s="15" t="s">
        <v>125</v>
      </c>
      <c r="U15" s="23">
        <v>46275</v>
      </c>
      <c r="V15" s="15" t="s">
        <v>126</v>
      </c>
      <c r="W15" s="15" t="s">
        <v>127</v>
      </c>
    </row>
    <row r="16" spans="1:23" ht="27.75" customHeight="1" x14ac:dyDescent="0.2">
      <c r="A16" s="37">
        <v>14</v>
      </c>
      <c r="B16" s="24" t="s">
        <v>128</v>
      </c>
      <c r="C16" s="25" t="s">
        <v>78</v>
      </c>
      <c r="D16" s="25"/>
      <c r="E16" s="25" t="s">
        <v>129</v>
      </c>
      <c r="F16" s="33">
        <v>82.89</v>
      </c>
      <c r="G16" s="26">
        <v>0.02</v>
      </c>
      <c r="H16" s="27">
        <v>32.47</v>
      </c>
      <c r="I16" s="28">
        <v>9.06E-2</v>
      </c>
      <c r="J16" s="28">
        <v>9.2700000000000005E-2</v>
      </c>
      <c r="K16" s="29">
        <v>0.68</v>
      </c>
      <c r="L16" s="28">
        <v>6.4699999999999994E-2</v>
      </c>
      <c r="M16" s="28">
        <v>3.8699999999999998E-2</v>
      </c>
      <c r="N16" s="30">
        <v>1.21</v>
      </c>
      <c r="O16" s="25" t="s">
        <v>32</v>
      </c>
      <c r="P16" s="31" t="s">
        <v>130</v>
      </c>
      <c r="Q16" s="31" t="s">
        <v>131</v>
      </c>
      <c r="R16" s="25"/>
      <c r="S16" s="25" t="s">
        <v>32</v>
      </c>
      <c r="T16" s="25" t="s">
        <v>35</v>
      </c>
      <c r="U16" s="32">
        <v>46275</v>
      </c>
      <c r="V16" s="25" t="s">
        <v>132</v>
      </c>
      <c r="W16" s="25" t="s">
        <v>76</v>
      </c>
    </row>
    <row r="17" spans="1:23" ht="27.75" customHeight="1" x14ac:dyDescent="0.2">
      <c r="A17" s="36">
        <v>15</v>
      </c>
      <c r="B17" s="14" t="s">
        <v>133</v>
      </c>
      <c r="C17" s="15" t="s">
        <v>106</v>
      </c>
      <c r="D17" s="15" t="s">
        <v>134</v>
      </c>
      <c r="E17" s="15" t="s">
        <v>135</v>
      </c>
      <c r="F17" s="33">
        <v>75.86</v>
      </c>
      <c r="G17" s="17">
        <v>0.02</v>
      </c>
      <c r="H17" s="18">
        <v>11.25</v>
      </c>
      <c r="I17" s="28">
        <v>0.1729</v>
      </c>
      <c r="J17" s="19">
        <v>-8.5400000000000004E-2</v>
      </c>
      <c r="K17" s="20">
        <v>0.26</v>
      </c>
      <c r="L17" s="28">
        <v>9.1399999999999995E-2</v>
      </c>
      <c r="M17" s="28">
        <v>0.11890000000000001</v>
      </c>
      <c r="N17" s="21">
        <v>0.35</v>
      </c>
      <c r="O17" s="15" t="s">
        <v>32</v>
      </c>
      <c r="P17" s="22" t="s">
        <v>136</v>
      </c>
      <c r="Q17" s="22" t="s">
        <v>137</v>
      </c>
      <c r="R17" s="15" t="s">
        <v>50</v>
      </c>
      <c r="S17" s="15" t="s">
        <v>51</v>
      </c>
      <c r="T17" s="15" t="s">
        <v>61</v>
      </c>
      <c r="U17" s="23">
        <v>46275</v>
      </c>
      <c r="V17" s="15" t="s">
        <v>138</v>
      </c>
      <c r="W17" s="15" t="s">
        <v>54</v>
      </c>
    </row>
    <row r="18" spans="1:23" ht="27.75" customHeight="1" x14ac:dyDescent="0.2">
      <c r="A18" s="37">
        <v>16</v>
      </c>
      <c r="B18" s="24" t="s">
        <v>139</v>
      </c>
      <c r="C18" s="25" t="s">
        <v>39</v>
      </c>
      <c r="D18" s="25" t="s">
        <v>140</v>
      </c>
      <c r="E18" s="25" t="s">
        <v>141</v>
      </c>
      <c r="F18" s="16">
        <v>14.35</v>
      </c>
      <c r="G18" s="26">
        <v>0.02</v>
      </c>
      <c r="H18" s="27">
        <v>18.190000000000001</v>
      </c>
      <c r="I18" s="19">
        <v>0.42820000000000003</v>
      </c>
      <c r="J18" s="28">
        <v>0.1293</v>
      </c>
      <c r="K18" s="29">
        <v>0.09</v>
      </c>
      <c r="L18" s="19">
        <v>0.3871</v>
      </c>
      <c r="M18" s="19">
        <v>0.20930000000000001</v>
      </c>
      <c r="N18" s="30">
        <v>0.47</v>
      </c>
      <c r="O18" s="25" t="s">
        <v>32</v>
      </c>
      <c r="P18" s="31" t="s">
        <v>142</v>
      </c>
      <c r="Q18" s="31" t="s">
        <v>143</v>
      </c>
      <c r="R18" s="25" t="s">
        <v>50</v>
      </c>
      <c r="S18" s="25" t="s">
        <v>51</v>
      </c>
      <c r="T18" s="25" t="s">
        <v>61</v>
      </c>
      <c r="U18" s="32">
        <v>46275</v>
      </c>
      <c r="V18" s="25" t="s">
        <v>144</v>
      </c>
      <c r="W18" s="25" t="s">
        <v>54</v>
      </c>
    </row>
    <row r="19" spans="1:23" ht="27.75" customHeight="1" x14ac:dyDescent="0.2">
      <c r="A19" s="36">
        <v>17</v>
      </c>
      <c r="B19" s="14" t="s">
        <v>145</v>
      </c>
      <c r="C19" s="15" t="s">
        <v>30</v>
      </c>
      <c r="D19" s="15" t="s">
        <v>146</v>
      </c>
      <c r="E19" s="15" t="s">
        <v>147</v>
      </c>
      <c r="F19" s="16">
        <v>22.75</v>
      </c>
      <c r="G19" s="17">
        <v>0.02</v>
      </c>
      <c r="H19" s="18">
        <v>32.01</v>
      </c>
      <c r="I19" s="19">
        <v>0.17829999999999999</v>
      </c>
      <c r="J19" s="19">
        <v>4.6300000000000001E-2</v>
      </c>
      <c r="K19" s="20">
        <v>7.0000000000000007E-2</v>
      </c>
      <c r="L19" s="19">
        <v>0.38779999999999998</v>
      </c>
      <c r="M19" s="19">
        <v>0.21829999999999999</v>
      </c>
      <c r="N19" s="21">
        <v>1.04</v>
      </c>
      <c r="O19" s="15" t="s">
        <v>32</v>
      </c>
      <c r="P19" s="22" t="s">
        <v>148</v>
      </c>
      <c r="Q19" s="22" t="s">
        <v>149</v>
      </c>
      <c r="R19" s="15" t="s">
        <v>50</v>
      </c>
      <c r="S19" s="15" t="s">
        <v>51</v>
      </c>
      <c r="T19" s="15" t="s">
        <v>150</v>
      </c>
      <c r="U19" s="23">
        <v>46275</v>
      </c>
      <c r="V19" s="15" t="s">
        <v>151</v>
      </c>
      <c r="W19" s="15" t="s">
        <v>54</v>
      </c>
    </row>
    <row r="20" spans="1:23" ht="27.75" customHeight="1" x14ac:dyDescent="0.2">
      <c r="A20" s="37">
        <v>18</v>
      </c>
      <c r="B20" s="24" t="s">
        <v>152</v>
      </c>
      <c r="C20" s="25" t="s">
        <v>78</v>
      </c>
      <c r="D20" s="25" t="s">
        <v>153</v>
      </c>
      <c r="E20" s="25" t="s">
        <v>154</v>
      </c>
      <c r="F20" s="16">
        <v>95.9</v>
      </c>
      <c r="G20" s="26">
        <v>0.02</v>
      </c>
      <c r="H20" s="27">
        <v>21.61</v>
      </c>
      <c r="I20" s="19">
        <v>0.12920000000000001</v>
      </c>
      <c r="J20" s="28">
        <v>0.1007</v>
      </c>
      <c r="K20" s="29">
        <v>0.35</v>
      </c>
      <c r="L20" s="19">
        <v>1.6999999999999999E-3</v>
      </c>
      <c r="M20" s="19">
        <v>-8.0000000000000004E-4</v>
      </c>
      <c r="N20" s="30">
        <v>0.32</v>
      </c>
      <c r="O20" s="25" t="s">
        <v>32</v>
      </c>
      <c r="P20" s="31" t="s">
        <v>155</v>
      </c>
      <c r="Q20" s="31" t="s">
        <v>156</v>
      </c>
      <c r="R20" s="25" t="s">
        <v>50</v>
      </c>
      <c r="S20" s="25" t="s">
        <v>51</v>
      </c>
      <c r="T20" s="25" t="s">
        <v>61</v>
      </c>
      <c r="U20" s="32">
        <v>46275</v>
      </c>
      <c r="V20" s="25" t="s">
        <v>157</v>
      </c>
      <c r="W20" s="25" t="s">
        <v>54</v>
      </c>
    </row>
    <row r="21" spans="1:23" ht="27.75" customHeight="1" x14ac:dyDescent="0.2">
      <c r="A21" s="36">
        <v>19</v>
      </c>
      <c r="B21" s="14" t="s">
        <v>158</v>
      </c>
      <c r="C21" s="15" t="s">
        <v>78</v>
      </c>
      <c r="D21" s="15" t="s">
        <v>159</v>
      </c>
      <c r="E21" s="15" t="s">
        <v>160</v>
      </c>
      <c r="F21" s="33">
        <v>337.29</v>
      </c>
      <c r="G21" s="17">
        <v>0.02</v>
      </c>
      <c r="H21" s="18">
        <v>38.32</v>
      </c>
      <c r="I21" s="28">
        <v>0.25180000000000002</v>
      </c>
      <c r="J21" s="19">
        <v>-7.5899999999999995E-2</v>
      </c>
      <c r="K21" s="20">
        <v>1.1499999999999999</v>
      </c>
      <c r="L21" s="28">
        <v>-2.0000000000000001E-4</v>
      </c>
      <c r="M21" s="28">
        <v>1.01E-2</v>
      </c>
      <c r="N21" s="21">
        <v>1.38</v>
      </c>
      <c r="O21" s="15" t="s">
        <v>32</v>
      </c>
      <c r="P21" s="22" t="s">
        <v>161</v>
      </c>
      <c r="Q21" s="22" t="s">
        <v>162</v>
      </c>
      <c r="R21" s="15" t="s">
        <v>58</v>
      </c>
      <c r="S21" s="15" t="s">
        <v>32</v>
      </c>
      <c r="T21" s="15" t="s">
        <v>61</v>
      </c>
      <c r="U21" s="23">
        <v>46275</v>
      </c>
      <c r="V21" s="15" t="s">
        <v>163</v>
      </c>
      <c r="W21" s="15" t="s">
        <v>164</v>
      </c>
    </row>
    <row r="22" spans="1:23" ht="27.75" customHeight="1" x14ac:dyDescent="0.2">
      <c r="A22" s="37">
        <v>20</v>
      </c>
      <c r="B22" s="24" t="s">
        <v>165</v>
      </c>
      <c r="C22" s="25" t="s">
        <v>84</v>
      </c>
      <c r="D22" s="25" t="s">
        <v>166</v>
      </c>
      <c r="E22" s="25" t="s">
        <v>167</v>
      </c>
      <c r="F22" s="33">
        <v>4042.28</v>
      </c>
      <c r="G22" s="26">
        <v>0.02</v>
      </c>
      <c r="H22" s="27">
        <v>16.66</v>
      </c>
      <c r="I22" s="28">
        <v>0.32329999999999998</v>
      </c>
      <c r="J22" s="28">
        <v>0.1278</v>
      </c>
      <c r="K22" s="29">
        <v>0.18</v>
      </c>
      <c r="L22" s="28">
        <v>7.3999999999999996E-2</v>
      </c>
      <c r="M22" s="28">
        <v>-1.4999999999999999E-2</v>
      </c>
      <c r="N22" s="30">
        <v>1.22</v>
      </c>
      <c r="O22" s="25" t="s">
        <v>32</v>
      </c>
      <c r="P22" s="31" t="s">
        <v>168</v>
      </c>
      <c r="Q22" s="31" t="s">
        <v>169</v>
      </c>
      <c r="R22" s="25" t="s">
        <v>170</v>
      </c>
      <c r="S22" s="25" t="s">
        <v>124</v>
      </c>
      <c r="T22" s="25" t="s">
        <v>125</v>
      </c>
      <c r="U22" s="32">
        <v>46275</v>
      </c>
      <c r="V22" s="25" t="s">
        <v>171</v>
      </c>
      <c r="W22" s="25" t="s">
        <v>127</v>
      </c>
    </row>
    <row r="23" spans="1:23" ht="27.75" customHeight="1" x14ac:dyDescent="0.2">
      <c r="A23" s="36">
        <v>21</v>
      </c>
      <c r="B23" s="14" t="s">
        <v>172</v>
      </c>
      <c r="C23" s="15" t="s">
        <v>173</v>
      </c>
      <c r="D23" s="15" t="s">
        <v>174</v>
      </c>
      <c r="E23" s="15" t="s">
        <v>175</v>
      </c>
      <c r="F23" s="16">
        <v>298.39</v>
      </c>
      <c r="G23" s="17">
        <v>0.02</v>
      </c>
      <c r="H23" s="18">
        <v>15.82</v>
      </c>
      <c r="I23" s="19">
        <v>4.3299999999999998E-2</v>
      </c>
      <c r="J23" s="19">
        <v>0.2334</v>
      </c>
      <c r="K23" s="20">
        <v>6.5</v>
      </c>
      <c r="L23" s="19">
        <v>0.24399999999999999</v>
      </c>
      <c r="M23" s="19">
        <v>7.6600000000000001E-2</v>
      </c>
      <c r="N23" s="21">
        <v>1.27</v>
      </c>
      <c r="O23" s="15" t="s">
        <v>32</v>
      </c>
      <c r="P23" s="22" t="s">
        <v>176</v>
      </c>
      <c r="Q23" s="22" t="s">
        <v>177</v>
      </c>
      <c r="R23" s="15" t="s">
        <v>178</v>
      </c>
      <c r="S23" s="15" t="s">
        <v>124</v>
      </c>
      <c r="T23" s="15" t="s">
        <v>125</v>
      </c>
      <c r="U23" s="23">
        <v>46275</v>
      </c>
      <c r="V23" s="15" t="s">
        <v>179</v>
      </c>
      <c r="W23" s="15" t="s">
        <v>180</v>
      </c>
    </row>
    <row r="24" spans="1:23" ht="27.75" customHeight="1" x14ac:dyDescent="0.2">
      <c r="A24" s="37">
        <v>22</v>
      </c>
      <c r="B24" s="24" t="s">
        <v>181</v>
      </c>
      <c r="C24" s="25" t="s">
        <v>71</v>
      </c>
      <c r="D24" s="25" t="s">
        <v>182</v>
      </c>
      <c r="E24" s="25" t="s">
        <v>183</v>
      </c>
      <c r="F24" s="33">
        <v>306.95</v>
      </c>
      <c r="G24" s="26">
        <v>0.02</v>
      </c>
      <c r="H24" s="27">
        <v>21.53</v>
      </c>
      <c r="I24" s="28">
        <v>0.20699999999999999</v>
      </c>
      <c r="J24" s="28">
        <v>1.52E-2</v>
      </c>
      <c r="K24" s="29">
        <v>3.77</v>
      </c>
      <c r="L24" s="28">
        <v>-0.1231</v>
      </c>
      <c r="M24" s="28">
        <v>-0.1045</v>
      </c>
      <c r="N24" s="30">
        <v>0.99</v>
      </c>
      <c r="O24" s="25" t="s">
        <v>32</v>
      </c>
      <c r="P24" s="31" t="s">
        <v>184</v>
      </c>
      <c r="Q24" s="31" t="s">
        <v>185</v>
      </c>
      <c r="R24" s="25" t="s">
        <v>50</v>
      </c>
      <c r="S24" s="25" t="s">
        <v>51</v>
      </c>
      <c r="T24" s="25" t="s">
        <v>186</v>
      </c>
      <c r="U24" s="32">
        <v>46275</v>
      </c>
      <c r="V24" s="25" t="s">
        <v>187</v>
      </c>
      <c r="W24" s="25" t="s">
        <v>188</v>
      </c>
    </row>
    <row r="25" spans="1:23" ht="27.75" customHeight="1" x14ac:dyDescent="0.2">
      <c r="A25" s="36">
        <v>23</v>
      </c>
      <c r="B25" s="14" t="s">
        <v>189</v>
      </c>
      <c r="C25" s="15" t="s">
        <v>39</v>
      </c>
      <c r="D25" s="15" t="s">
        <v>140</v>
      </c>
      <c r="E25" s="15" t="s">
        <v>190</v>
      </c>
      <c r="F25" s="33">
        <v>25.4</v>
      </c>
      <c r="G25" s="17">
        <v>0.02</v>
      </c>
      <c r="H25" s="18">
        <v>15.97</v>
      </c>
      <c r="I25" s="28">
        <v>0.253</v>
      </c>
      <c r="J25" s="19">
        <v>0.1484</v>
      </c>
      <c r="K25" s="20">
        <v>0.01</v>
      </c>
      <c r="L25" s="28">
        <v>0.32379999999999998</v>
      </c>
      <c r="M25" s="28">
        <v>0.19270000000000001</v>
      </c>
      <c r="N25" s="21">
        <v>0.73</v>
      </c>
      <c r="O25" s="15" t="s">
        <v>32</v>
      </c>
      <c r="P25" s="22" t="s">
        <v>191</v>
      </c>
      <c r="Q25" s="22" t="s">
        <v>192</v>
      </c>
      <c r="R25" s="15" t="s">
        <v>50</v>
      </c>
      <c r="S25" s="15" t="s">
        <v>51</v>
      </c>
      <c r="T25" s="15" t="s">
        <v>61</v>
      </c>
      <c r="U25" s="23">
        <v>46275</v>
      </c>
      <c r="V25" s="15" t="s">
        <v>193</v>
      </c>
      <c r="W25" s="15" t="s">
        <v>54</v>
      </c>
    </row>
    <row r="26" spans="1:23" ht="27.75" customHeight="1" x14ac:dyDescent="0.2">
      <c r="A26" s="37">
        <v>24</v>
      </c>
      <c r="B26" s="24" t="s">
        <v>194</v>
      </c>
      <c r="C26" s="25" t="s">
        <v>39</v>
      </c>
      <c r="D26" s="25" t="s">
        <v>64</v>
      </c>
      <c r="E26" s="25" t="s">
        <v>195</v>
      </c>
      <c r="F26" s="33">
        <v>641.86</v>
      </c>
      <c r="G26" s="26">
        <v>0.02</v>
      </c>
      <c r="H26" s="27">
        <v>30.87</v>
      </c>
      <c r="I26" s="28">
        <v>0.17199999999999999</v>
      </c>
      <c r="J26" s="28">
        <v>5.5599999999999997E-2</v>
      </c>
      <c r="K26" s="29">
        <v>0.57999999999999996</v>
      </c>
      <c r="L26" s="28">
        <v>9.6100000000000005E-2</v>
      </c>
      <c r="M26" s="28">
        <v>0.12470000000000001</v>
      </c>
      <c r="N26" s="30">
        <v>0.2</v>
      </c>
      <c r="O26" s="25" t="s">
        <v>32</v>
      </c>
      <c r="P26" s="31" t="s">
        <v>196</v>
      </c>
      <c r="Q26" s="31" t="s">
        <v>197</v>
      </c>
      <c r="R26" s="25" t="s">
        <v>198</v>
      </c>
      <c r="S26" s="25" t="s">
        <v>124</v>
      </c>
      <c r="T26" s="25" t="s">
        <v>125</v>
      </c>
      <c r="U26" s="32">
        <v>46275</v>
      </c>
      <c r="V26" s="25" t="s">
        <v>199</v>
      </c>
      <c r="W26" s="25" t="s">
        <v>200</v>
      </c>
    </row>
    <row r="27" spans="1:23" ht="27.75" customHeight="1" x14ac:dyDescent="0.2">
      <c r="A27" s="36">
        <v>25</v>
      </c>
      <c r="B27" s="14" t="s">
        <v>201</v>
      </c>
      <c r="C27" s="15" t="s">
        <v>173</v>
      </c>
      <c r="D27" s="15" t="s">
        <v>202</v>
      </c>
      <c r="E27" s="15" t="s">
        <v>203</v>
      </c>
      <c r="F27" s="16">
        <v>936.29</v>
      </c>
      <c r="G27" s="17">
        <v>0.02</v>
      </c>
      <c r="H27" s="18">
        <v>15.09</v>
      </c>
      <c r="I27" s="19">
        <v>7.4099999999999999E-2</v>
      </c>
      <c r="J27" s="19">
        <v>0.21</v>
      </c>
      <c r="K27" s="20">
        <v>3.41</v>
      </c>
      <c r="L27" s="19">
        <v>0.22509999999999999</v>
      </c>
      <c r="M27" s="19">
        <v>0.1037</v>
      </c>
      <c r="N27" s="21">
        <v>1.01</v>
      </c>
      <c r="O27" s="15" t="s">
        <v>32</v>
      </c>
      <c r="P27" s="22" t="s">
        <v>204</v>
      </c>
      <c r="Q27" s="22" t="s">
        <v>205</v>
      </c>
      <c r="R27" s="15" t="s">
        <v>50</v>
      </c>
      <c r="S27" s="15" t="s">
        <v>51</v>
      </c>
      <c r="T27" s="15" t="s">
        <v>61</v>
      </c>
      <c r="U27" s="23">
        <v>46275</v>
      </c>
      <c r="V27" s="15" t="s">
        <v>206</v>
      </c>
      <c r="W27" s="15" t="s">
        <v>188</v>
      </c>
    </row>
    <row r="28" spans="1:23" ht="27.75" customHeight="1" x14ac:dyDescent="0.2">
      <c r="A28" s="37">
        <v>26</v>
      </c>
      <c r="B28" s="24" t="s">
        <v>207</v>
      </c>
      <c r="C28" s="25" t="s">
        <v>93</v>
      </c>
      <c r="D28" s="25" t="s">
        <v>208</v>
      </c>
      <c r="E28" s="25" t="s">
        <v>209</v>
      </c>
      <c r="F28" s="16">
        <v>379.95</v>
      </c>
      <c r="G28" s="26">
        <v>0.02</v>
      </c>
      <c r="H28" s="27">
        <v>26.61</v>
      </c>
      <c r="I28" s="19">
        <v>0.19570000000000001</v>
      </c>
      <c r="J28" s="28">
        <v>4.1399999999999999E-2</v>
      </c>
      <c r="K28" s="29">
        <v>1.2</v>
      </c>
      <c r="L28" s="19">
        <v>0.1376</v>
      </c>
      <c r="M28" s="19">
        <v>0.1221</v>
      </c>
      <c r="N28" s="30">
        <v>0.32</v>
      </c>
      <c r="O28" s="25" t="s">
        <v>32</v>
      </c>
      <c r="P28" s="31" t="s">
        <v>210</v>
      </c>
      <c r="Q28" s="31" t="s">
        <v>211</v>
      </c>
      <c r="R28" s="25" t="s">
        <v>212</v>
      </c>
      <c r="S28" s="25" t="s">
        <v>124</v>
      </c>
      <c r="T28" s="25" t="s">
        <v>125</v>
      </c>
      <c r="U28" s="32">
        <v>46275</v>
      </c>
      <c r="V28" s="25" t="s">
        <v>213</v>
      </c>
      <c r="W28" s="25" t="s">
        <v>200</v>
      </c>
    </row>
    <row r="29" spans="1:23" ht="27.75" customHeight="1" x14ac:dyDescent="0.2">
      <c r="A29" s="36">
        <v>27</v>
      </c>
      <c r="B29" s="14" t="s">
        <v>214</v>
      </c>
      <c r="C29" s="15" t="s">
        <v>78</v>
      </c>
      <c r="D29" s="15" t="s">
        <v>215</v>
      </c>
      <c r="E29" s="15" t="s">
        <v>216</v>
      </c>
      <c r="F29" s="16">
        <v>1.22</v>
      </c>
      <c r="G29" s="17">
        <v>0.02</v>
      </c>
      <c r="H29" s="18">
        <v>22.94</v>
      </c>
      <c r="I29" s="19">
        <v>8.72E-2</v>
      </c>
      <c r="J29" s="19">
        <v>-4.2599999999999999E-2</v>
      </c>
      <c r="K29" s="20">
        <v>0.28000000000000003</v>
      </c>
      <c r="L29" s="19">
        <v>-4.5699999999999998E-2</v>
      </c>
      <c r="M29" s="19">
        <v>1.12E-2</v>
      </c>
      <c r="N29" s="21">
        <v>0.67</v>
      </c>
      <c r="O29" s="15" t="s">
        <v>58</v>
      </c>
      <c r="P29" s="22" t="s">
        <v>217</v>
      </c>
      <c r="Q29" s="22" t="s">
        <v>218</v>
      </c>
      <c r="R29" s="15" t="s">
        <v>219</v>
      </c>
      <c r="S29" s="15" t="s">
        <v>124</v>
      </c>
      <c r="T29" s="15" t="s">
        <v>125</v>
      </c>
      <c r="U29" s="23">
        <v>46275</v>
      </c>
      <c r="V29" s="15" t="s">
        <v>220</v>
      </c>
      <c r="W29" s="15" t="s">
        <v>127</v>
      </c>
    </row>
    <row r="30" spans="1:23" ht="27.75" customHeight="1" x14ac:dyDescent="0.2">
      <c r="A30" s="37">
        <v>28</v>
      </c>
      <c r="B30" s="24" t="s">
        <v>221</v>
      </c>
      <c r="C30" s="25" t="s">
        <v>71</v>
      </c>
      <c r="D30" s="25" t="s">
        <v>222</v>
      </c>
      <c r="E30" s="25" t="s">
        <v>223</v>
      </c>
      <c r="F30" s="16">
        <v>179.21</v>
      </c>
      <c r="G30" s="26">
        <v>0.02</v>
      </c>
      <c r="H30" s="27">
        <v>20.57</v>
      </c>
      <c r="I30" s="19">
        <v>0.16619999999999999</v>
      </c>
      <c r="J30" s="28">
        <v>5.0599999999999999E-2</v>
      </c>
      <c r="K30" s="29"/>
      <c r="L30" s="19">
        <v>-0.2213</v>
      </c>
      <c r="M30" s="19">
        <v>-0.1421</v>
      </c>
      <c r="N30" s="30">
        <v>0.44</v>
      </c>
      <c r="O30" s="25" t="s">
        <v>32</v>
      </c>
      <c r="P30" s="31" t="s">
        <v>224</v>
      </c>
      <c r="Q30" s="31" t="s">
        <v>225</v>
      </c>
      <c r="R30" s="25" t="s">
        <v>226</v>
      </c>
      <c r="S30" s="25" t="s">
        <v>124</v>
      </c>
      <c r="T30" s="25" t="s">
        <v>125</v>
      </c>
      <c r="U30" s="32">
        <v>46275</v>
      </c>
      <c r="V30" s="25" t="s">
        <v>227</v>
      </c>
      <c r="W30" s="25" t="s">
        <v>200</v>
      </c>
    </row>
    <row r="31" spans="1:23" ht="27.75" customHeight="1" x14ac:dyDescent="0.2">
      <c r="A31" s="36">
        <v>29</v>
      </c>
      <c r="B31" s="14" t="s">
        <v>228</v>
      </c>
      <c r="C31" s="15" t="s">
        <v>39</v>
      </c>
      <c r="D31" s="15" t="s">
        <v>229</v>
      </c>
      <c r="E31" s="15" t="s">
        <v>230</v>
      </c>
      <c r="F31" s="33">
        <v>117.63</v>
      </c>
      <c r="G31" s="17">
        <v>0.02</v>
      </c>
      <c r="H31" s="18">
        <v>22.64</v>
      </c>
      <c r="I31" s="28">
        <v>6.9000000000000006E-2</v>
      </c>
      <c r="J31" s="19">
        <v>5.21E-2</v>
      </c>
      <c r="K31" s="20">
        <v>0.56000000000000005</v>
      </c>
      <c r="L31" s="28">
        <v>3.3599999999999998E-2</v>
      </c>
      <c r="M31" s="28">
        <v>2.63E-2</v>
      </c>
      <c r="N31" s="21">
        <v>0.56000000000000005</v>
      </c>
      <c r="O31" s="15" t="s">
        <v>32</v>
      </c>
      <c r="P31" s="22" t="s">
        <v>231</v>
      </c>
      <c r="Q31" s="22" t="s">
        <v>232</v>
      </c>
      <c r="R31" s="15" t="s">
        <v>50</v>
      </c>
      <c r="S31" s="15" t="s">
        <v>233</v>
      </c>
      <c r="T31" s="15" t="s">
        <v>234</v>
      </c>
      <c r="U31" s="23">
        <v>46275</v>
      </c>
      <c r="V31" s="15" t="s">
        <v>235</v>
      </c>
      <c r="W31" s="15" t="s">
        <v>69</v>
      </c>
    </row>
    <row r="32" spans="1:23" ht="27.75" customHeight="1" x14ac:dyDescent="0.2">
      <c r="A32" s="37">
        <v>30</v>
      </c>
      <c r="B32" s="24" t="s">
        <v>236</v>
      </c>
      <c r="C32" s="25" t="s">
        <v>173</v>
      </c>
      <c r="D32" s="25" t="s">
        <v>174</v>
      </c>
      <c r="E32" s="25" t="s">
        <v>237</v>
      </c>
      <c r="F32" s="33">
        <v>336.96</v>
      </c>
      <c r="G32" s="26">
        <v>0.02</v>
      </c>
      <c r="H32" s="27">
        <v>17.34</v>
      </c>
      <c r="I32" s="28">
        <v>3.9699999999999999E-2</v>
      </c>
      <c r="J32" s="28">
        <v>0.21959999999999999</v>
      </c>
      <c r="K32" s="29">
        <v>4.6900000000000004</v>
      </c>
      <c r="L32" s="28">
        <v>0.33350000000000002</v>
      </c>
      <c r="M32" s="28">
        <v>0.11890000000000001</v>
      </c>
      <c r="N32" s="30">
        <v>1.2</v>
      </c>
      <c r="O32" s="25" t="s">
        <v>32</v>
      </c>
      <c r="P32" s="31" t="s">
        <v>238</v>
      </c>
      <c r="Q32" s="31" t="s">
        <v>239</v>
      </c>
      <c r="R32" s="25" t="s">
        <v>240</v>
      </c>
      <c r="S32" s="25" t="s">
        <v>124</v>
      </c>
      <c r="T32" s="25" t="s">
        <v>125</v>
      </c>
      <c r="U32" s="32">
        <v>46275</v>
      </c>
      <c r="V32" s="25" t="s">
        <v>241</v>
      </c>
      <c r="W32" s="25" t="s">
        <v>127</v>
      </c>
    </row>
    <row r="33" spans="1:23" ht="27.75" customHeight="1" x14ac:dyDescent="0.2">
      <c r="A33" s="36">
        <v>31</v>
      </c>
      <c r="B33" s="14" t="s">
        <v>242</v>
      </c>
      <c r="C33" s="15" t="s">
        <v>30</v>
      </c>
      <c r="D33" s="15" t="s">
        <v>243</v>
      </c>
      <c r="E33" s="15" t="s">
        <v>244</v>
      </c>
      <c r="F33" s="33">
        <v>3649.4</v>
      </c>
      <c r="G33" s="17">
        <v>0.02</v>
      </c>
      <c r="H33" s="18">
        <v>27.39</v>
      </c>
      <c r="I33" s="28">
        <v>0.2422</v>
      </c>
      <c r="J33" s="19">
        <v>0.16120000000000001</v>
      </c>
      <c r="K33" s="20">
        <v>0.28999999999999998</v>
      </c>
      <c r="L33" s="28">
        <v>0.21390000000000001</v>
      </c>
      <c r="M33" s="28">
        <v>0.1399</v>
      </c>
      <c r="N33" s="21">
        <v>1.1000000000000001</v>
      </c>
      <c r="O33" s="15" t="s">
        <v>32</v>
      </c>
      <c r="P33" s="22" t="s">
        <v>245</v>
      </c>
      <c r="Q33" s="22" t="s">
        <v>246</v>
      </c>
      <c r="R33" s="15" t="s">
        <v>247</v>
      </c>
      <c r="S33" s="15" t="s">
        <v>124</v>
      </c>
      <c r="T33" s="15" t="s">
        <v>125</v>
      </c>
      <c r="U33" s="23">
        <v>46275</v>
      </c>
      <c r="V33" s="15" t="s">
        <v>248</v>
      </c>
      <c r="W33" s="15" t="s">
        <v>200</v>
      </c>
    </row>
    <row r="34" spans="1:23" ht="27.75" customHeight="1" x14ac:dyDescent="0.2">
      <c r="A34" s="37">
        <v>32</v>
      </c>
      <c r="B34" s="24" t="s">
        <v>249</v>
      </c>
      <c r="C34" s="25" t="s">
        <v>30</v>
      </c>
      <c r="D34" s="25" t="s">
        <v>250</v>
      </c>
      <c r="E34" s="25" t="s">
        <v>251</v>
      </c>
      <c r="F34" s="16">
        <v>1117.77</v>
      </c>
      <c r="G34" s="26">
        <v>0.02</v>
      </c>
      <c r="H34" s="27">
        <v>22.41</v>
      </c>
      <c r="I34" s="19">
        <v>0.4738</v>
      </c>
      <c r="J34" s="28">
        <v>6.7100000000000007E-2</v>
      </c>
      <c r="K34" s="29">
        <v>0.06</v>
      </c>
      <c r="L34" s="19">
        <v>1.3637999999999999</v>
      </c>
      <c r="M34" s="19">
        <v>0.60070000000000001</v>
      </c>
      <c r="N34" s="30">
        <v>2.23</v>
      </c>
      <c r="O34" s="25" t="s">
        <v>32</v>
      </c>
      <c r="P34" s="31" t="s">
        <v>142</v>
      </c>
      <c r="Q34" s="31" t="s">
        <v>252</v>
      </c>
      <c r="R34" s="25" t="s">
        <v>50</v>
      </c>
      <c r="S34" s="25" t="s">
        <v>51</v>
      </c>
      <c r="T34" s="25" t="s">
        <v>253</v>
      </c>
      <c r="U34" s="32">
        <v>46275</v>
      </c>
      <c r="V34" s="25" t="s">
        <v>254</v>
      </c>
      <c r="W34" s="25" t="s">
        <v>54</v>
      </c>
    </row>
    <row r="35" spans="1:23" ht="27.75" customHeight="1" x14ac:dyDescent="0.2">
      <c r="A35" s="36">
        <v>33</v>
      </c>
      <c r="B35" s="14" t="s">
        <v>255</v>
      </c>
      <c r="C35" s="15" t="s">
        <v>256</v>
      </c>
      <c r="D35" s="15" t="s">
        <v>257</v>
      </c>
      <c r="E35" s="15" t="s">
        <v>258</v>
      </c>
      <c r="F35" s="16">
        <v>172.53</v>
      </c>
      <c r="G35" s="17">
        <v>0.02</v>
      </c>
      <c r="H35" s="18">
        <v>18.559999999999999</v>
      </c>
      <c r="I35" s="19">
        <v>5.96E-2</v>
      </c>
      <c r="J35" s="19">
        <v>-8.9999999999999998E-4</v>
      </c>
      <c r="K35" s="20">
        <v>1.93</v>
      </c>
      <c r="L35" s="19">
        <v>-9.7600000000000006E-2</v>
      </c>
      <c r="M35" s="19">
        <v>-5.79E-2</v>
      </c>
      <c r="N35" s="21">
        <v>0.63</v>
      </c>
      <c r="O35" s="15" t="s">
        <v>32</v>
      </c>
      <c r="P35" s="22" t="s">
        <v>259</v>
      </c>
      <c r="Q35" s="22" t="s">
        <v>260</v>
      </c>
      <c r="R35" s="15" t="s">
        <v>261</v>
      </c>
      <c r="S35" s="15" t="s">
        <v>124</v>
      </c>
      <c r="T35" s="15" t="s">
        <v>125</v>
      </c>
      <c r="U35" s="23">
        <v>46275</v>
      </c>
      <c r="V35" s="15" t="s">
        <v>262</v>
      </c>
      <c r="W35" s="15" t="s">
        <v>263</v>
      </c>
    </row>
    <row r="36" spans="1:23" ht="27.75" customHeight="1" x14ac:dyDescent="0.2">
      <c r="A36" s="37">
        <v>34</v>
      </c>
      <c r="B36" s="24" t="s">
        <v>264</v>
      </c>
      <c r="C36" s="25" t="s">
        <v>30</v>
      </c>
      <c r="D36" s="25" t="s">
        <v>265</v>
      </c>
      <c r="E36" s="25" t="s">
        <v>266</v>
      </c>
      <c r="F36" s="33">
        <v>36.270000000000003</v>
      </c>
      <c r="G36" s="26">
        <v>0.02</v>
      </c>
      <c r="H36" s="27">
        <v>26.06</v>
      </c>
      <c r="I36" s="28">
        <v>0.41299999999999998</v>
      </c>
      <c r="J36" s="28">
        <v>2.8799999999999999E-2</v>
      </c>
      <c r="K36" s="29">
        <v>1.69</v>
      </c>
      <c r="L36" s="28">
        <v>0.89229999999999998</v>
      </c>
      <c r="M36" s="28">
        <v>0.4007</v>
      </c>
      <c r="N36" s="30">
        <v>1.47</v>
      </c>
      <c r="O36" s="25" t="s">
        <v>32</v>
      </c>
      <c r="P36" s="31" t="s">
        <v>267</v>
      </c>
      <c r="Q36" s="31" t="s">
        <v>268</v>
      </c>
      <c r="R36" s="25" t="s">
        <v>50</v>
      </c>
      <c r="S36" s="25" t="s">
        <v>51</v>
      </c>
      <c r="T36" s="25" t="s">
        <v>234</v>
      </c>
      <c r="U36" s="32">
        <v>46275</v>
      </c>
      <c r="V36" s="25" t="s">
        <v>269</v>
      </c>
      <c r="W36" s="25" t="s">
        <v>54</v>
      </c>
    </row>
    <row r="37" spans="1:23" ht="27.75" customHeight="1" x14ac:dyDescent="0.2">
      <c r="A37" s="36">
        <v>35</v>
      </c>
      <c r="B37" s="14" t="s">
        <v>270</v>
      </c>
      <c r="C37" s="15" t="s">
        <v>30</v>
      </c>
      <c r="D37" s="15" t="s">
        <v>250</v>
      </c>
      <c r="E37" s="15" t="s">
        <v>271</v>
      </c>
      <c r="F37" s="33">
        <v>5253.08</v>
      </c>
      <c r="G37" s="17">
        <v>0.02</v>
      </c>
      <c r="H37" s="18">
        <v>27.55</v>
      </c>
      <c r="I37" s="28">
        <v>0.72419999999999995</v>
      </c>
      <c r="J37" s="19">
        <v>1.0004999999999999</v>
      </c>
      <c r="K37" s="20">
        <v>0.17</v>
      </c>
      <c r="L37" s="28">
        <v>0.17169999999999999</v>
      </c>
      <c r="M37" s="28">
        <v>0.10489999999999999</v>
      </c>
      <c r="N37" s="21">
        <v>2.2200000000000002</v>
      </c>
      <c r="O37" s="15" t="s">
        <v>32</v>
      </c>
      <c r="P37" s="22" t="s">
        <v>272</v>
      </c>
      <c r="Q37" s="22" t="s">
        <v>273</v>
      </c>
      <c r="R37" s="15" t="s">
        <v>50</v>
      </c>
      <c r="S37" s="15" t="s">
        <v>51</v>
      </c>
      <c r="T37" s="15" t="s">
        <v>274</v>
      </c>
      <c r="U37" s="23">
        <v>46275</v>
      </c>
      <c r="V37" s="15" t="s">
        <v>275</v>
      </c>
      <c r="W37" s="15" t="s">
        <v>54</v>
      </c>
    </row>
    <row r="38" spans="1:23" ht="27.75" customHeight="1" x14ac:dyDescent="0.2">
      <c r="A38" s="37">
        <v>36</v>
      </c>
      <c r="B38" s="24" t="s">
        <v>276</v>
      </c>
      <c r="C38" s="25" t="s">
        <v>106</v>
      </c>
      <c r="D38" s="25" t="s">
        <v>277</v>
      </c>
      <c r="E38" s="25" t="s">
        <v>278</v>
      </c>
      <c r="F38" s="33">
        <v>4.9800000000000004</v>
      </c>
      <c r="G38" s="26">
        <v>0.02</v>
      </c>
      <c r="H38" s="27">
        <v>14.4</v>
      </c>
      <c r="I38" s="28">
        <v>0.187</v>
      </c>
      <c r="J38" s="28">
        <v>0.1045</v>
      </c>
      <c r="K38" s="29">
        <v>0.71</v>
      </c>
      <c r="L38" s="28">
        <v>0.41460000000000002</v>
      </c>
      <c r="M38" s="28">
        <v>0.35420000000000001</v>
      </c>
      <c r="N38" s="30">
        <v>1.24</v>
      </c>
      <c r="O38" s="25" t="s">
        <v>58</v>
      </c>
      <c r="P38" s="31" t="s">
        <v>279</v>
      </c>
      <c r="Q38" s="31" t="s">
        <v>280</v>
      </c>
      <c r="R38" s="25" t="s">
        <v>50</v>
      </c>
      <c r="S38" s="25" t="s">
        <v>51</v>
      </c>
      <c r="T38" s="25" t="s">
        <v>61</v>
      </c>
      <c r="U38" s="32">
        <v>46275</v>
      </c>
      <c r="V38" s="25" t="s">
        <v>281</v>
      </c>
      <c r="W38" s="25" t="s">
        <v>54</v>
      </c>
    </row>
    <row r="39" spans="1:23" ht="27.75" customHeight="1" x14ac:dyDescent="0.2">
      <c r="A39" s="36">
        <v>37</v>
      </c>
      <c r="B39" s="14" t="s">
        <v>282</v>
      </c>
      <c r="C39" s="15" t="s">
        <v>106</v>
      </c>
      <c r="D39" s="15" t="s">
        <v>283</v>
      </c>
      <c r="E39" s="15" t="s">
        <v>284</v>
      </c>
      <c r="F39" s="16">
        <v>60.03</v>
      </c>
      <c r="G39" s="17">
        <v>0.02</v>
      </c>
      <c r="H39" s="18">
        <v>16.45</v>
      </c>
      <c r="I39" s="19">
        <v>6.8099999999999994E-2</v>
      </c>
      <c r="J39" s="19">
        <v>0.13650000000000001</v>
      </c>
      <c r="K39" s="20">
        <v>1.44</v>
      </c>
      <c r="L39" s="19">
        <v>0.1104</v>
      </c>
      <c r="M39" s="19">
        <v>0.11600000000000001</v>
      </c>
      <c r="N39" s="21">
        <v>0.78</v>
      </c>
      <c r="O39" s="15" t="s">
        <v>32</v>
      </c>
      <c r="P39" s="22" t="s">
        <v>285</v>
      </c>
      <c r="Q39" s="22" t="s">
        <v>286</v>
      </c>
      <c r="R39" s="15" t="s">
        <v>50</v>
      </c>
      <c r="S39" s="15" t="s">
        <v>51</v>
      </c>
      <c r="T39" s="15" t="s">
        <v>61</v>
      </c>
      <c r="U39" s="23">
        <v>46275</v>
      </c>
      <c r="V39" s="15" t="s">
        <v>287</v>
      </c>
      <c r="W39" s="15" t="s">
        <v>54</v>
      </c>
    </row>
    <row r="40" spans="1:23" ht="27.75" customHeight="1" x14ac:dyDescent="0.2">
      <c r="A40" s="37">
        <v>38</v>
      </c>
      <c r="B40" s="24" t="s">
        <v>288</v>
      </c>
      <c r="C40" s="25" t="s">
        <v>93</v>
      </c>
      <c r="D40" s="25" t="s">
        <v>289</v>
      </c>
      <c r="E40" s="25" t="s">
        <v>290</v>
      </c>
      <c r="F40" s="33">
        <v>330.86</v>
      </c>
      <c r="G40" s="26">
        <v>0.02</v>
      </c>
      <c r="H40" s="27">
        <v>21.52</v>
      </c>
      <c r="I40" s="28">
        <v>0.2069</v>
      </c>
      <c r="J40" s="28">
        <v>0.02</v>
      </c>
      <c r="K40" s="29">
        <v>0.65</v>
      </c>
      <c r="L40" s="28">
        <v>-7.0900000000000005E-2</v>
      </c>
      <c r="M40" s="28">
        <v>-3.4299999999999997E-2</v>
      </c>
      <c r="N40" s="30">
        <v>0.38</v>
      </c>
      <c r="O40" s="25" t="s">
        <v>32</v>
      </c>
      <c r="P40" s="31" t="s">
        <v>291</v>
      </c>
      <c r="Q40" s="31" t="s">
        <v>292</v>
      </c>
      <c r="R40" s="25" t="s">
        <v>50</v>
      </c>
      <c r="S40" s="25" t="s">
        <v>51</v>
      </c>
      <c r="T40" s="25" t="s">
        <v>293</v>
      </c>
      <c r="U40" s="32">
        <v>46275</v>
      </c>
      <c r="V40" s="25" t="s">
        <v>294</v>
      </c>
      <c r="W40" s="25" t="s">
        <v>295</v>
      </c>
    </row>
    <row r="41" spans="1:23" ht="27.75" customHeight="1" x14ac:dyDescent="0.2">
      <c r="A41" s="36">
        <v>39</v>
      </c>
      <c r="B41" s="14" t="s">
        <v>296</v>
      </c>
      <c r="C41" s="15" t="s">
        <v>78</v>
      </c>
      <c r="D41" s="15" t="s">
        <v>297</v>
      </c>
      <c r="E41" s="15" t="s">
        <v>298</v>
      </c>
      <c r="F41" s="33">
        <v>117.51</v>
      </c>
      <c r="G41" s="17">
        <v>0.02</v>
      </c>
      <c r="H41" s="18">
        <v>32.72</v>
      </c>
      <c r="I41" s="28">
        <v>0.1633</v>
      </c>
      <c r="J41" s="19">
        <v>4.0899999999999999E-2</v>
      </c>
      <c r="K41" s="20">
        <v>0.56999999999999995</v>
      </c>
      <c r="L41" s="28">
        <v>-8.8000000000000005E-3</v>
      </c>
      <c r="M41" s="28">
        <v>-6.1000000000000004E-3</v>
      </c>
      <c r="N41" s="21">
        <v>1.1200000000000001</v>
      </c>
      <c r="O41" s="15" t="s">
        <v>32</v>
      </c>
      <c r="P41" s="22" t="s">
        <v>299</v>
      </c>
      <c r="Q41" s="22" t="s">
        <v>300</v>
      </c>
      <c r="R41" s="15" t="s">
        <v>50</v>
      </c>
      <c r="S41" s="15" t="s">
        <v>51</v>
      </c>
      <c r="T41" s="15" t="s">
        <v>293</v>
      </c>
      <c r="U41" s="23">
        <v>46275</v>
      </c>
      <c r="V41" s="15" t="s">
        <v>301</v>
      </c>
      <c r="W41" s="15" t="s">
        <v>54</v>
      </c>
    </row>
    <row r="42" spans="1:23" ht="27.75" customHeight="1" x14ac:dyDescent="0.2">
      <c r="A42" s="37">
        <v>40</v>
      </c>
      <c r="B42" s="24" t="s">
        <v>302</v>
      </c>
      <c r="C42" s="25" t="s">
        <v>30</v>
      </c>
      <c r="D42" s="25"/>
      <c r="E42" s="25" t="s">
        <v>303</v>
      </c>
      <c r="F42" s="16">
        <v>1.69</v>
      </c>
      <c r="G42" s="26">
        <v>0.02</v>
      </c>
      <c r="H42" s="27">
        <v>10.11</v>
      </c>
      <c r="I42" s="19">
        <v>0.12889999999999999</v>
      </c>
      <c r="J42" s="28">
        <v>9.9000000000000008E-3</v>
      </c>
      <c r="K42" s="29">
        <v>0</v>
      </c>
      <c r="L42" s="19">
        <v>-0.16839999999999999</v>
      </c>
      <c r="M42" s="19">
        <v>-0.1983</v>
      </c>
      <c r="N42" s="30">
        <v>1.33</v>
      </c>
      <c r="O42" s="25" t="s">
        <v>58</v>
      </c>
      <c r="P42" s="31" t="s">
        <v>304</v>
      </c>
      <c r="Q42" s="31" t="s">
        <v>305</v>
      </c>
      <c r="R42" s="25"/>
      <c r="S42" s="25" t="s">
        <v>32</v>
      </c>
      <c r="T42" s="25" t="s">
        <v>306</v>
      </c>
      <c r="U42" s="32">
        <v>46275</v>
      </c>
      <c r="V42" s="25" t="s">
        <v>307</v>
      </c>
      <c r="W42" s="25" t="s">
        <v>76</v>
      </c>
    </row>
    <row r="43" spans="1:23" ht="27.75" customHeight="1" x14ac:dyDescent="0.2">
      <c r="A43" s="36">
        <v>41</v>
      </c>
      <c r="B43" s="14" t="s">
        <v>308</v>
      </c>
      <c r="C43" s="15" t="s">
        <v>309</v>
      </c>
      <c r="D43" s="15" t="s">
        <v>310</v>
      </c>
      <c r="E43" s="15" t="s">
        <v>311</v>
      </c>
      <c r="F43" s="33">
        <v>131.22</v>
      </c>
      <c r="G43" s="17">
        <v>0.02</v>
      </c>
      <c r="H43" s="18">
        <v>30.21</v>
      </c>
      <c r="I43" s="28">
        <v>4.6899999999999997E-2</v>
      </c>
      <c r="J43" s="19">
        <v>0.13739999999999999</v>
      </c>
      <c r="K43" s="20">
        <v>0.69</v>
      </c>
      <c r="L43" s="28">
        <v>9.5999999999999992E-3</v>
      </c>
      <c r="M43" s="28">
        <v>-1.3299999999999999E-2</v>
      </c>
      <c r="N43" s="21">
        <v>1.32</v>
      </c>
      <c r="O43" s="15" t="s">
        <v>32</v>
      </c>
      <c r="P43" s="22" t="s">
        <v>312</v>
      </c>
      <c r="Q43" s="22" t="s">
        <v>313</v>
      </c>
      <c r="R43" s="15" t="s">
        <v>58</v>
      </c>
      <c r="S43" s="15" t="s">
        <v>32</v>
      </c>
      <c r="T43" s="15" t="s">
        <v>61</v>
      </c>
      <c r="U43" s="23">
        <v>46275</v>
      </c>
      <c r="V43" s="15" t="s">
        <v>314</v>
      </c>
      <c r="W43" s="15" t="s">
        <v>164</v>
      </c>
    </row>
    <row r="44" spans="1:23" ht="27.75" customHeight="1" x14ac:dyDescent="0.2">
      <c r="A44" s="37">
        <v>42</v>
      </c>
      <c r="B44" s="24" t="s">
        <v>315</v>
      </c>
      <c r="C44" s="25" t="s">
        <v>30</v>
      </c>
      <c r="D44" s="25" t="s">
        <v>316</v>
      </c>
      <c r="E44" s="25" t="s">
        <v>317</v>
      </c>
      <c r="F44" s="33">
        <v>2.31</v>
      </c>
      <c r="G44" s="26">
        <v>0.02</v>
      </c>
      <c r="H44" s="27">
        <v>18.45</v>
      </c>
      <c r="I44" s="28">
        <v>0.1173</v>
      </c>
      <c r="J44" s="28">
        <v>5.9900000000000002E-2</v>
      </c>
      <c r="K44" s="29">
        <v>0</v>
      </c>
      <c r="L44" s="28">
        <v>0.15920000000000001</v>
      </c>
      <c r="M44" s="28">
        <v>3.9E-2</v>
      </c>
      <c r="N44" s="30">
        <v>0.97</v>
      </c>
      <c r="O44" s="25" t="s">
        <v>58</v>
      </c>
      <c r="P44" s="31" t="s">
        <v>318</v>
      </c>
      <c r="Q44" s="31" t="s">
        <v>319</v>
      </c>
      <c r="R44" s="25" t="s">
        <v>50</v>
      </c>
      <c r="S44" s="25" t="s">
        <v>51</v>
      </c>
      <c r="T44" s="25" t="s">
        <v>320</v>
      </c>
      <c r="U44" s="32">
        <v>46275</v>
      </c>
      <c r="V44" s="25" t="s">
        <v>321</v>
      </c>
      <c r="W44" s="25" t="s">
        <v>54</v>
      </c>
    </row>
    <row r="45" spans="1:23" ht="27.75" customHeight="1" x14ac:dyDescent="0.2">
      <c r="A45" s="36">
        <v>43</v>
      </c>
      <c r="B45" s="14" t="s">
        <v>322</v>
      </c>
      <c r="C45" s="15" t="s">
        <v>30</v>
      </c>
      <c r="D45" s="15" t="s">
        <v>250</v>
      </c>
      <c r="E45" s="15" t="s">
        <v>323</v>
      </c>
      <c r="F45" s="33">
        <v>185.72</v>
      </c>
      <c r="G45" s="17">
        <v>0.02</v>
      </c>
      <c r="H45" s="18">
        <v>20.47</v>
      </c>
      <c r="I45" s="28">
        <v>0.22900000000000001</v>
      </c>
      <c r="J45" s="19">
        <v>5.9999999999999995E-4</v>
      </c>
      <c r="K45" s="20">
        <v>0.55000000000000004</v>
      </c>
      <c r="L45" s="28">
        <v>0.31850000000000001</v>
      </c>
      <c r="M45" s="28">
        <v>5.2499999999999998E-2</v>
      </c>
      <c r="N45" s="21">
        <v>1.65</v>
      </c>
      <c r="O45" s="15" t="s">
        <v>32</v>
      </c>
      <c r="P45" s="22" t="s">
        <v>324</v>
      </c>
      <c r="Q45" s="22" t="s">
        <v>325</v>
      </c>
      <c r="R45" s="15" t="s">
        <v>50</v>
      </c>
      <c r="S45" s="15" t="s">
        <v>51</v>
      </c>
      <c r="T45" s="15" t="s">
        <v>150</v>
      </c>
      <c r="U45" s="23">
        <v>46275</v>
      </c>
      <c r="V45" s="15" t="s">
        <v>326</v>
      </c>
      <c r="W45" s="15" t="s">
        <v>54</v>
      </c>
    </row>
    <row r="46" spans="1:23" ht="27.75" customHeight="1" x14ac:dyDescent="0.2">
      <c r="A46" s="37">
        <v>44</v>
      </c>
      <c r="B46" s="24" t="s">
        <v>327</v>
      </c>
      <c r="C46" s="25" t="s">
        <v>39</v>
      </c>
      <c r="D46" s="25" t="s">
        <v>140</v>
      </c>
      <c r="E46" s="25" t="s">
        <v>328</v>
      </c>
      <c r="F46" s="16">
        <v>82.07</v>
      </c>
      <c r="G46" s="26">
        <v>0.02</v>
      </c>
      <c r="H46" s="27">
        <v>19.7</v>
      </c>
      <c r="I46" s="19">
        <v>0.1285</v>
      </c>
      <c r="J46" s="28">
        <v>5.62E-2</v>
      </c>
      <c r="K46" s="29">
        <v>0.09</v>
      </c>
      <c r="L46" s="19">
        <v>2.9000000000000001E-2</v>
      </c>
      <c r="M46" s="19">
        <v>8.6800000000000002E-2</v>
      </c>
      <c r="N46" s="30">
        <v>0.15</v>
      </c>
      <c r="O46" s="25" t="s">
        <v>32</v>
      </c>
      <c r="P46" s="31" t="s">
        <v>329</v>
      </c>
      <c r="Q46" s="31" t="s">
        <v>330</v>
      </c>
      <c r="R46" s="25" t="s">
        <v>50</v>
      </c>
      <c r="S46" s="25" t="s">
        <v>51</v>
      </c>
      <c r="T46" s="25" t="s">
        <v>61</v>
      </c>
      <c r="U46" s="32">
        <v>46275</v>
      </c>
      <c r="V46" s="25" t="s">
        <v>331</v>
      </c>
      <c r="W46" s="25" t="s">
        <v>54</v>
      </c>
    </row>
    <row r="47" spans="1:23" ht="27.75" customHeight="1" x14ac:dyDescent="0.2">
      <c r="A47" s="36">
        <v>45</v>
      </c>
      <c r="B47" s="14" t="s">
        <v>332</v>
      </c>
      <c r="C47" s="15" t="s">
        <v>118</v>
      </c>
      <c r="D47" s="15" t="s">
        <v>119</v>
      </c>
      <c r="E47" s="15" t="s">
        <v>333</v>
      </c>
      <c r="F47" s="33">
        <v>76.92</v>
      </c>
      <c r="G47" s="17">
        <v>0.02</v>
      </c>
      <c r="H47" s="18">
        <v>29.21</v>
      </c>
      <c r="I47" s="28">
        <v>0.18410000000000001</v>
      </c>
      <c r="J47" s="19">
        <v>2.1000000000000001E-2</v>
      </c>
      <c r="K47" s="20">
        <v>3.9</v>
      </c>
      <c r="L47" s="28">
        <v>-1.8200000000000001E-2</v>
      </c>
      <c r="M47" s="28">
        <v>-5.1499999999999997E-2</v>
      </c>
      <c r="N47" s="21">
        <v>1.08</v>
      </c>
      <c r="O47" s="15" t="s">
        <v>32</v>
      </c>
      <c r="P47" s="22" t="s">
        <v>334</v>
      </c>
      <c r="Q47" s="22" t="s">
        <v>335</v>
      </c>
      <c r="R47" s="15" t="s">
        <v>50</v>
      </c>
      <c r="S47" s="15" t="s">
        <v>51</v>
      </c>
      <c r="T47" s="15" t="s">
        <v>61</v>
      </c>
      <c r="U47" s="23">
        <v>46275</v>
      </c>
      <c r="V47" s="15" t="s">
        <v>336</v>
      </c>
      <c r="W47" s="15" t="s">
        <v>54</v>
      </c>
    </row>
    <row r="48" spans="1:23" ht="27.75" customHeight="1" x14ac:dyDescent="0.2">
      <c r="A48" s="37">
        <v>46</v>
      </c>
      <c r="B48" s="24" t="s">
        <v>337</v>
      </c>
      <c r="C48" s="25" t="s">
        <v>71</v>
      </c>
      <c r="D48" s="25" t="s">
        <v>338</v>
      </c>
      <c r="E48" s="25" t="s">
        <v>339</v>
      </c>
      <c r="F48" s="33">
        <v>139.52000000000001</v>
      </c>
      <c r="G48" s="26">
        <v>0.02</v>
      </c>
      <c r="H48" s="27">
        <v>23.46</v>
      </c>
      <c r="I48" s="28">
        <v>0.27260000000000001</v>
      </c>
      <c r="J48" s="28">
        <v>6.5299999999999997E-2</v>
      </c>
      <c r="K48" s="29">
        <v>1.34</v>
      </c>
      <c r="L48" s="28">
        <v>-0.1966</v>
      </c>
      <c r="M48" s="28">
        <v>-0.17860000000000001</v>
      </c>
      <c r="N48" s="30">
        <v>0.56999999999999995</v>
      </c>
      <c r="O48" s="25" t="s">
        <v>32</v>
      </c>
      <c r="P48" s="31" t="s">
        <v>340</v>
      </c>
      <c r="Q48" s="31" t="s">
        <v>341</v>
      </c>
      <c r="R48" s="25" t="s">
        <v>50</v>
      </c>
      <c r="S48" s="25" t="s">
        <v>51</v>
      </c>
      <c r="T48" s="25" t="s">
        <v>274</v>
      </c>
      <c r="U48" s="32">
        <v>46275</v>
      </c>
      <c r="V48" s="25" t="s">
        <v>342</v>
      </c>
      <c r="W48" s="25" t="s">
        <v>54</v>
      </c>
    </row>
    <row r="49" spans="1:23" ht="27.75" customHeight="1" x14ac:dyDescent="0.2">
      <c r="A49" s="36">
        <v>47</v>
      </c>
      <c r="B49" s="14" t="s">
        <v>343</v>
      </c>
      <c r="C49" s="15" t="s">
        <v>30</v>
      </c>
      <c r="D49" s="15"/>
      <c r="E49" s="15" t="s">
        <v>344</v>
      </c>
      <c r="F49" s="16">
        <v>238.06</v>
      </c>
      <c r="G49" s="17">
        <v>0.02</v>
      </c>
      <c r="H49" s="18">
        <v>39.659999999999997</v>
      </c>
      <c r="I49" s="19">
        <v>0.19470000000000001</v>
      </c>
      <c r="J49" s="19">
        <v>-4.07E-2</v>
      </c>
      <c r="K49" s="20">
        <v>0.78</v>
      </c>
      <c r="L49" s="19">
        <v>0.31209999999999999</v>
      </c>
      <c r="M49" s="19">
        <v>8.1900000000000001E-2</v>
      </c>
      <c r="N49" s="21">
        <v>1.35</v>
      </c>
      <c r="O49" s="15" t="s">
        <v>32</v>
      </c>
      <c r="P49" s="22" t="s">
        <v>345</v>
      </c>
      <c r="Q49" s="22" t="s">
        <v>346</v>
      </c>
      <c r="R49" s="15"/>
      <c r="S49" s="15" t="s">
        <v>32</v>
      </c>
      <c r="T49" s="15" t="s">
        <v>43</v>
      </c>
      <c r="U49" s="23">
        <v>46275</v>
      </c>
      <c r="V49" s="15" t="s">
        <v>347</v>
      </c>
      <c r="W49" s="15" t="s">
        <v>76</v>
      </c>
    </row>
    <row r="50" spans="1:23" ht="27.75" customHeight="1" x14ac:dyDescent="0.2">
      <c r="A50" s="37">
        <v>48</v>
      </c>
      <c r="B50" s="24" t="s">
        <v>348</v>
      </c>
      <c r="C50" s="25" t="s">
        <v>39</v>
      </c>
      <c r="D50" s="25" t="s">
        <v>349</v>
      </c>
      <c r="E50" s="25" t="s">
        <v>350</v>
      </c>
      <c r="F50" s="16">
        <v>349.62</v>
      </c>
      <c r="G50" s="26">
        <v>0.02</v>
      </c>
      <c r="H50" s="27">
        <v>25.05</v>
      </c>
      <c r="I50" s="19">
        <v>8.4099999999999994E-2</v>
      </c>
      <c r="J50" s="28">
        <v>0.1135</v>
      </c>
      <c r="K50" s="29">
        <v>0.74</v>
      </c>
      <c r="L50" s="19">
        <v>0.36549999999999999</v>
      </c>
      <c r="M50" s="19">
        <v>0.1042</v>
      </c>
      <c r="N50" s="30">
        <v>0.61</v>
      </c>
      <c r="O50" s="25" t="s">
        <v>32</v>
      </c>
      <c r="P50" s="31" t="s">
        <v>351</v>
      </c>
      <c r="Q50" s="31" t="s">
        <v>352</v>
      </c>
      <c r="R50" s="25" t="s">
        <v>50</v>
      </c>
      <c r="S50" s="25" t="s">
        <v>51</v>
      </c>
      <c r="T50" s="25" t="s">
        <v>61</v>
      </c>
      <c r="U50" s="32">
        <v>46275</v>
      </c>
      <c r="V50" s="25" t="s">
        <v>353</v>
      </c>
      <c r="W50" s="25" t="s">
        <v>354</v>
      </c>
    </row>
    <row r="51" spans="1:23" ht="27.75" customHeight="1" x14ac:dyDescent="0.2">
      <c r="A51" s="36">
        <v>49</v>
      </c>
      <c r="B51" s="14" t="s">
        <v>355</v>
      </c>
      <c r="C51" s="15" t="s">
        <v>78</v>
      </c>
      <c r="D51" s="15" t="s">
        <v>356</v>
      </c>
      <c r="E51" s="15" t="s">
        <v>357</v>
      </c>
      <c r="F51" s="16">
        <v>170.07</v>
      </c>
      <c r="G51" s="17">
        <v>0.02</v>
      </c>
      <c r="H51" s="18">
        <v>23.18</v>
      </c>
      <c r="I51" s="19">
        <v>0.1457</v>
      </c>
      <c r="J51" s="19">
        <v>-4.8999999999999998E-3</v>
      </c>
      <c r="K51" s="20">
        <v>1.51</v>
      </c>
      <c r="L51" s="19">
        <v>0.14000000000000001</v>
      </c>
      <c r="M51" s="19">
        <v>9.5699999999999993E-2</v>
      </c>
      <c r="N51" s="21">
        <v>0.95</v>
      </c>
      <c r="O51" s="15" t="s">
        <v>32</v>
      </c>
      <c r="P51" s="22" t="s">
        <v>358</v>
      </c>
      <c r="Q51" s="22" t="s">
        <v>359</v>
      </c>
      <c r="R51" s="15" t="s">
        <v>50</v>
      </c>
      <c r="S51" s="15" t="s">
        <v>51</v>
      </c>
      <c r="T51" s="15" t="s">
        <v>61</v>
      </c>
      <c r="U51" s="23">
        <v>46275</v>
      </c>
      <c r="V51" s="15" t="s">
        <v>360</v>
      </c>
      <c r="W51" s="15" t="s">
        <v>54</v>
      </c>
    </row>
    <row r="52" spans="1:23" ht="27.75" customHeight="1" x14ac:dyDescent="0.2">
      <c r="A52" s="37">
        <v>50</v>
      </c>
      <c r="B52" s="24" t="s">
        <v>361</v>
      </c>
      <c r="C52" s="25" t="s">
        <v>93</v>
      </c>
      <c r="D52" s="25"/>
      <c r="E52" s="25" t="s">
        <v>362</v>
      </c>
      <c r="F52" s="16">
        <v>843.75</v>
      </c>
      <c r="G52" s="26">
        <v>0.02</v>
      </c>
      <c r="H52" s="27">
        <v>38.53</v>
      </c>
      <c r="I52" s="19">
        <v>0.14199999999999999</v>
      </c>
      <c r="J52" s="28">
        <v>5.2699999999999997E-2</v>
      </c>
      <c r="K52" s="29">
        <v>0.75</v>
      </c>
      <c r="L52" s="19">
        <v>-0.13880000000000001</v>
      </c>
      <c r="M52" s="19">
        <v>-0.1042</v>
      </c>
      <c r="N52" s="30">
        <v>0.57999999999999996</v>
      </c>
      <c r="O52" s="25" t="s">
        <v>32</v>
      </c>
      <c r="P52" s="31" t="s">
        <v>95</v>
      </c>
      <c r="Q52" s="31" t="s">
        <v>363</v>
      </c>
      <c r="R52" s="25"/>
      <c r="S52" s="25" t="s">
        <v>32</v>
      </c>
      <c r="T52" s="25" t="s">
        <v>364</v>
      </c>
      <c r="U52" s="32">
        <v>46275</v>
      </c>
      <c r="V52" s="25" t="s">
        <v>365</v>
      </c>
      <c r="W52" s="25" t="s">
        <v>37</v>
      </c>
    </row>
  </sheetData>
  <autoFilter ref="C2:W52" xr:uid="{00000000-0009-0000-0000-000001000000}">
    <sortState xmlns:xlrd2="http://schemas.microsoft.com/office/spreadsheetml/2017/richdata2" ref="C3:W52">
      <sortCondition ref="C3:C52"/>
    </sortState>
  </autoFilter>
  <mergeCells count="6">
    <mergeCell ref="C1:E1"/>
    <mergeCell ref="U1:W1"/>
    <mergeCell ref="P1:Q1"/>
    <mergeCell ref="R1:T1"/>
    <mergeCell ref="F1:G1"/>
    <mergeCell ref="H1:N1"/>
  </mergeCells>
  <conditionalFormatting sqref="F3:F52">
    <cfRule type="dataBar" priority="5">
      <dataBar>
        <cfvo type="min"/>
        <cfvo type="max"/>
        <color rgb="FF9FB6C9"/>
      </dataBar>
    </cfRule>
  </conditionalFormatting>
  <conditionalFormatting sqref="I3:I52">
    <cfRule type="colorScale" priority="4">
      <colorScale>
        <cfvo type="min"/>
        <cfvo type="max"/>
        <color rgb="FFFFFFFF"/>
        <color rgb="FF1E7B45"/>
      </colorScale>
    </cfRule>
  </conditionalFormatting>
  <conditionalFormatting sqref="L3:L52">
    <cfRule type="colorScale" priority="2">
      <colorScale>
        <cfvo type="min"/>
        <cfvo type="num" val="0"/>
        <cfvo type="max"/>
        <color rgb="FFC0392B"/>
        <color rgb="FFFFFFFF"/>
        <color rgb="FF1E7B45"/>
      </colorScale>
    </cfRule>
  </conditionalFormatting>
  <conditionalFormatting sqref="M3:M52">
    <cfRule type="colorScale" priority="3">
      <colorScale>
        <cfvo type="min"/>
        <cfvo type="num" val="0"/>
        <cfvo type="max"/>
        <color rgb="FFC0392B"/>
        <color rgb="FFFFFFFF"/>
        <color rgb="FF1E7B45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G23" sqref="G23"/>
    </sheetView>
  </sheetViews>
  <sheetFormatPr baseColWidth="10" defaultColWidth="8.83203125" defaultRowHeight="15" x14ac:dyDescent="0.2"/>
  <cols>
    <col min="1" max="1" width="13" customWidth="1"/>
    <col min="2" max="52" width="11" customWidth="1"/>
  </cols>
  <sheetData>
    <row r="1" spans="1:52" ht="16" x14ac:dyDescent="0.2">
      <c r="A1" s="74" t="s">
        <v>397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</row>
    <row r="2" spans="1:52" ht="16" x14ac:dyDescent="0.2">
      <c r="A2" s="38" t="s">
        <v>395</v>
      </c>
      <c r="B2" s="38" t="s">
        <v>29</v>
      </c>
      <c r="C2" s="38" t="s">
        <v>38</v>
      </c>
      <c r="D2" s="38" t="s">
        <v>45</v>
      </c>
      <c r="E2" s="38" t="s">
        <v>55</v>
      </c>
      <c r="F2" s="38" t="s">
        <v>63</v>
      </c>
      <c r="G2" s="38" t="s">
        <v>70</v>
      </c>
      <c r="H2" s="38" t="s">
        <v>77</v>
      </c>
      <c r="I2" s="38" t="s">
        <v>83</v>
      </c>
      <c r="J2" s="38" t="s">
        <v>92</v>
      </c>
      <c r="K2" s="38" t="s">
        <v>99</v>
      </c>
      <c r="L2" s="38" t="s">
        <v>105</v>
      </c>
      <c r="M2" s="38" t="s">
        <v>112</v>
      </c>
      <c r="N2" s="38" t="s">
        <v>117</v>
      </c>
      <c r="O2" s="38" t="s">
        <v>128</v>
      </c>
      <c r="P2" s="38" t="s">
        <v>133</v>
      </c>
      <c r="Q2" s="38" t="s">
        <v>139</v>
      </c>
      <c r="R2" s="38" t="s">
        <v>145</v>
      </c>
      <c r="S2" s="38" t="s">
        <v>152</v>
      </c>
      <c r="T2" s="38" t="s">
        <v>158</v>
      </c>
      <c r="U2" s="38" t="s">
        <v>165</v>
      </c>
      <c r="V2" s="38" t="s">
        <v>172</v>
      </c>
      <c r="W2" s="38" t="s">
        <v>181</v>
      </c>
      <c r="X2" s="38" t="s">
        <v>189</v>
      </c>
      <c r="Y2" s="38" t="s">
        <v>194</v>
      </c>
      <c r="Z2" s="38" t="s">
        <v>201</v>
      </c>
      <c r="AA2" s="38" t="s">
        <v>207</v>
      </c>
      <c r="AB2" s="38" t="s">
        <v>214</v>
      </c>
      <c r="AC2" s="38" t="s">
        <v>221</v>
      </c>
      <c r="AD2" s="38" t="s">
        <v>228</v>
      </c>
      <c r="AE2" s="38" t="s">
        <v>236</v>
      </c>
      <c r="AF2" s="38" t="s">
        <v>242</v>
      </c>
      <c r="AG2" s="38" t="s">
        <v>249</v>
      </c>
      <c r="AH2" s="38" t="s">
        <v>255</v>
      </c>
      <c r="AI2" s="38" t="s">
        <v>264</v>
      </c>
      <c r="AJ2" s="38" t="s">
        <v>270</v>
      </c>
      <c r="AK2" s="38" t="s">
        <v>276</v>
      </c>
      <c r="AL2" s="38" t="s">
        <v>282</v>
      </c>
      <c r="AM2" s="38" t="s">
        <v>288</v>
      </c>
      <c r="AN2" s="38" t="s">
        <v>296</v>
      </c>
      <c r="AO2" s="38" t="s">
        <v>302</v>
      </c>
      <c r="AP2" s="38" t="s">
        <v>308</v>
      </c>
      <c r="AQ2" s="38" t="s">
        <v>315</v>
      </c>
      <c r="AR2" s="38" t="s">
        <v>322</v>
      </c>
      <c r="AS2" s="38" t="s">
        <v>327</v>
      </c>
      <c r="AT2" s="38" t="s">
        <v>332</v>
      </c>
      <c r="AU2" s="38" t="s">
        <v>337</v>
      </c>
      <c r="AV2" s="38" t="s">
        <v>343</v>
      </c>
      <c r="AW2" s="38" t="s">
        <v>348</v>
      </c>
      <c r="AX2" s="38" t="s">
        <v>355</v>
      </c>
      <c r="AY2" s="38" t="s">
        <v>361</v>
      </c>
      <c r="AZ2" s="38" t="s">
        <v>396</v>
      </c>
    </row>
    <row r="3" spans="1:52" ht="16" x14ac:dyDescent="0.2">
      <c r="A3" s="39">
        <v>40179</v>
      </c>
      <c r="B3" s="40">
        <v>5.7444443702697754</v>
      </c>
      <c r="C3" s="40">
        <v>17.70256423950195</v>
      </c>
      <c r="D3" s="40">
        <v>32.299999237060547</v>
      </c>
      <c r="E3" s="40">
        <v>8.8199996948242188</v>
      </c>
      <c r="F3" s="40">
        <v>39.030662536621087</v>
      </c>
      <c r="G3" s="40">
        <v>6.2705001831054688</v>
      </c>
      <c r="H3" s="40">
        <v>35.080997467041023</v>
      </c>
      <c r="I3" s="40">
        <v>5.075742244720459</v>
      </c>
      <c r="J3" s="40">
        <v>40.577644348144531</v>
      </c>
      <c r="K3" s="40">
        <v>14.4069881439209</v>
      </c>
      <c r="L3" s="40">
        <v>36.978725433349609</v>
      </c>
      <c r="M3" s="40">
        <v>24.955511093139648</v>
      </c>
      <c r="N3" s="40">
        <v>36.384681701660163</v>
      </c>
      <c r="O3" s="40">
        <v>26.534133911132809</v>
      </c>
      <c r="P3" s="40">
        <v>31.361103057861332</v>
      </c>
      <c r="Q3" s="40">
        <v>6.630000114440918</v>
      </c>
      <c r="R3" s="40">
        <v>49.430000305175781</v>
      </c>
      <c r="S3" s="40">
        <v>45.725605010986328</v>
      </c>
      <c r="T3" s="40">
        <v>55.637985229492188</v>
      </c>
      <c r="U3" s="40">
        <v>13.13675498962402</v>
      </c>
      <c r="V3" s="40">
        <v>110.6350021362305</v>
      </c>
      <c r="W3" s="40">
        <v>18.714933395385739</v>
      </c>
      <c r="X3" s="40">
        <v>10.680000305175779</v>
      </c>
      <c r="Y3" s="40">
        <v>38.659320831298828</v>
      </c>
      <c r="Z3" s="40">
        <v>25.58350944519043</v>
      </c>
      <c r="AA3" s="40">
        <v>16.36369514465332</v>
      </c>
      <c r="AB3" s="40">
        <v>33.526699066162109</v>
      </c>
      <c r="AC3" s="40">
        <v>39.556201934814453</v>
      </c>
      <c r="AD3" s="40">
        <v>28.621866226196289</v>
      </c>
      <c r="AE3" s="40">
        <v>18.668802261352539</v>
      </c>
      <c r="AF3" s="40">
        <v>20.927165985107418</v>
      </c>
      <c r="AG3" s="40">
        <v>8.5031957626342773</v>
      </c>
      <c r="AH3" s="40">
        <v>7.4803228378295898</v>
      </c>
      <c r="AI3" s="40">
        <v>21.319498062133789</v>
      </c>
      <c r="AJ3" s="40">
        <v>0.35232236981391912</v>
      </c>
      <c r="AK3" s="40">
        <v>24.176914215087891</v>
      </c>
      <c r="AL3" s="40">
        <v>7.7185235023498544</v>
      </c>
      <c r="AM3" s="40">
        <v>38.116672515869141</v>
      </c>
      <c r="AN3" s="40">
        <v>42.391159057617188</v>
      </c>
      <c r="AO3" s="40">
        <v>3.8499999046325679</v>
      </c>
      <c r="AP3" s="40">
        <v>14.362099647521971</v>
      </c>
      <c r="AQ3" s="40">
        <v>3.6410171985626221</v>
      </c>
      <c r="AR3" s="40">
        <v>25.78440093994141</v>
      </c>
      <c r="AS3" s="40">
        <v>26.410770416259769</v>
      </c>
      <c r="AT3" s="40">
        <v>17.596042633056641</v>
      </c>
      <c r="AU3" s="40">
        <v>7.6224250793457031</v>
      </c>
      <c r="AV3" s="40">
        <v>14.65296745300293</v>
      </c>
      <c r="AW3" s="40">
        <v>25.40056037902832</v>
      </c>
      <c r="AX3" s="40">
        <v>21.121809005737301</v>
      </c>
      <c r="AY3" s="40">
        <v>12.688380241394039</v>
      </c>
      <c r="AZ3" s="40">
        <v>1073.869995117188</v>
      </c>
    </row>
    <row r="4" spans="1:52" ht="16" x14ac:dyDescent="0.2">
      <c r="A4" s="41">
        <v>40210</v>
      </c>
      <c r="B4" s="42">
        <v>6.1201081275939941</v>
      </c>
      <c r="C4" s="42">
        <v>18.150650024414059</v>
      </c>
      <c r="D4" s="42">
        <v>34.650001525878913</v>
      </c>
      <c r="E4" s="42">
        <v>7.9000000953674316</v>
      </c>
      <c r="F4" s="42">
        <v>37.782588958740227</v>
      </c>
      <c r="G4" s="42">
        <v>5.9200000762939453</v>
      </c>
      <c r="H4" s="42">
        <v>38.311061859130859</v>
      </c>
      <c r="I4" s="42">
        <v>5.271334171295166</v>
      </c>
      <c r="J4" s="42">
        <v>43.211235046386719</v>
      </c>
      <c r="K4" s="42">
        <v>15.59955310821533</v>
      </c>
      <c r="L4" s="42">
        <v>37.425834655761719</v>
      </c>
      <c r="M4" s="42">
        <v>26.382749557495121</v>
      </c>
      <c r="N4" s="42">
        <v>34.925971984863281</v>
      </c>
      <c r="O4" s="42">
        <v>30.461696624755859</v>
      </c>
      <c r="P4" s="42">
        <v>32.620132446289062</v>
      </c>
      <c r="Q4" s="42">
        <v>6.4699997901916504</v>
      </c>
      <c r="R4" s="42">
        <v>55.799999237060547</v>
      </c>
      <c r="S4" s="42">
        <v>49.624423980712891</v>
      </c>
      <c r="T4" s="42">
        <v>55.915645599365227</v>
      </c>
      <c r="U4" s="42">
        <v>13.058918952941889</v>
      </c>
      <c r="V4" s="42">
        <v>116.57187652587891</v>
      </c>
      <c r="W4" s="42">
        <v>20.84633827209473</v>
      </c>
      <c r="X4" s="42">
        <v>10.659999847412109</v>
      </c>
      <c r="Y4" s="42">
        <v>39.041866302490227</v>
      </c>
      <c r="Z4" s="42">
        <v>27.574222564697269</v>
      </c>
      <c r="AA4" s="42">
        <v>15.902186393737789</v>
      </c>
      <c r="AB4" s="42">
        <v>30.73332405090332</v>
      </c>
      <c r="AC4" s="42">
        <v>40.799785614013672</v>
      </c>
      <c r="AD4" s="42">
        <v>28.962198257446289</v>
      </c>
      <c r="AE4" s="42">
        <v>19.644760131835941</v>
      </c>
      <c r="AF4" s="42">
        <v>21.390609741210941</v>
      </c>
      <c r="AG4" s="42">
        <v>8.8347415924072266</v>
      </c>
      <c r="AH4" s="42">
        <v>7.190495491027832</v>
      </c>
      <c r="AI4" s="42">
        <v>21.963544845581051</v>
      </c>
      <c r="AJ4" s="42">
        <v>0.37086567282676702</v>
      </c>
      <c r="AK4" s="42">
        <v>26.718364715576168</v>
      </c>
      <c r="AL4" s="42">
        <v>8.1100311279296875</v>
      </c>
      <c r="AM4" s="42">
        <v>39.188037872314453</v>
      </c>
      <c r="AN4" s="42">
        <v>45.932018280029297</v>
      </c>
      <c r="AO4" s="42">
        <v>4.4000000953674316</v>
      </c>
      <c r="AP4" s="42">
        <v>14.56555652618408</v>
      </c>
      <c r="AQ4" s="42">
        <v>3.7985162734985352</v>
      </c>
      <c r="AR4" s="42">
        <v>24.23990440368652</v>
      </c>
      <c r="AS4" s="42">
        <v>24.231332778930661</v>
      </c>
      <c r="AT4" s="42">
        <v>17.703752517700199</v>
      </c>
      <c r="AU4" s="42">
        <v>8.3749666213989258</v>
      </c>
      <c r="AV4" s="42">
        <v>15.87730503082275</v>
      </c>
      <c r="AW4" s="42">
        <v>26.06251335144043</v>
      </c>
      <c r="AX4" s="42">
        <v>23.616315841674801</v>
      </c>
      <c r="AY4" s="42">
        <v>12.84036159515381</v>
      </c>
      <c r="AZ4" s="42">
        <v>1104.489990234375</v>
      </c>
    </row>
    <row r="5" spans="1:52" ht="16" x14ac:dyDescent="0.2">
      <c r="A5" s="39">
        <v>40238</v>
      </c>
      <c r="B5" s="40">
        <v>7.0287642478942871</v>
      </c>
      <c r="C5" s="40">
        <v>17.615627288818359</v>
      </c>
      <c r="D5" s="40">
        <v>35.369998931884773</v>
      </c>
      <c r="E5" s="40">
        <v>6.0399999618530273</v>
      </c>
      <c r="F5" s="40">
        <v>39.938346862792969</v>
      </c>
      <c r="G5" s="40">
        <v>6.7884998321533203</v>
      </c>
      <c r="H5" s="40">
        <v>42.205966949462891</v>
      </c>
      <c r="I5" s="40">
        <v>6.037665843963623</v>
      </c>
      <c r="J5" s="40">
        <v>42.318244934082031</v>
      </c>
      <c r="K5" s="40">
        <v>16.689546585083011</v>
      </c>
      <c r="L5" s="40">
        <v>39.253116607666023</v>
      </c>
      <c r="M5" s="40">
        <v>29.482126235961911</v>
      </c>
      <c r="N5" s="40">
        <v>36.558891296386719</v>
      </c>
      <c r="O5" s="40">
        <v>32.392120361328118</v>
      </c>
      <c r="P5" s="40">
        <v>32.235130310058587</v>
      </c>
      <c r="Q5" s="40">
        <v>6.070000171661377</v>
      </c>
      <c r="R5" s="40">
        <v>61.630001068115227</v>
      </c>
      <c r="S5" s="40">
        <v>52.805061340332031</v>
      </c>
      <c r="T5" s="40">
        <v>63.366462707519531</v>
      </c>
      <c r="U5" s="40">
        <v>14.05841636657715</v>
      </c>
      <c r="V5" s="40">
        <v>127.21877288818359</v>
      </c>
      <c r="W5" s="40">
        <v>21.77549934387207</v>
      </c>
      <c r="X5" s="40">
        <v>13.930000305175779</v>
      </c>
      <c r="Y5" s="40">
        <v>40.405235290527337</v>
      </c>
      <c r="Z5" s="40">
        <v>29.400663375854489</v>
      </c>
      <c r="AA5" s="40">
        <v>16.725692749023441</v>
      </c>
      <c r="AB5" s="40">
        <v>34.573947906494141</v>
      </c>
      <c r="AC5" s="40">
        <v>42.633686065673828</v>
      </c>
      <c r="AD5" s="40">
        <v>30.04996299743652</v>
      </c>
      <c r="AE5" s="40">
        <v>20.4185676574707</v>
      </c>
      <c r="AF5" s="40">
        <v>21.85319709777832</v>
      </c>
      <c r="AG5" s="40">
        <v>10.11217212677002</v>
      </c>
      <c r="AH5" s="40">
        <v>7.4944257736206046</v>
      </c>
      <c r="AI5" s="40">
        <v>23.8151969909668</v>
      </c>
      <c r="AJ5" s="40">
        <v>0.39833712577819819</v>
      </c>
      <c r="AK5" s="40">
        <v>28.06201171875</v>
      </c>
      <c r="AL5" s="40">
        <v>8.3515224456787109</v>
      </c>
      <c r="AM5" s="40">
        <v>39.181835174560547</v>
      </c>
      <c r="AN5" s="40">
        <v>49.305892944335938</v>
      </c>
      <c r="AO5" s="40">
        <v>5.0999999046325684</v>
      </c>
      <c r="AP5" s="40">
        <v>16.467010498046879</v>
      </c>
      <c r="AQ5" s="40">
        <v>4.0648746490478516</v>
      </c>
      <c r="AR5" s="40">
        <v>27.729188919067379</v>
      </c>
      <c r="AS5" s="40">
        <v>26.24235916137695</v>
      </c>
      <c r="AT5" s="40">
        <v>18.904861450195309</v>
      </c>
      <c r="AU5" s="40">
        <v>8.554011344909668</v>
      </c>
      <c r="AV5" s="40">
        <v>15.935915946960449</v>
      </c>
      <c r="AW5" s="40">
        <v>25.146549224853519</v>
      </c>
      <c r="AX5" s="40">
        <v>25.695058822631839</v>
      </c>
      <c r="AY5" s="40">
        <v>13.278120040893549</v>
      </c>
      <c r="AZ5" s="40">
        <v>1169.430053710938</v>
      </c>
    </row>
    <row r="6" spans="1:52" ht="16" x14ac:dyDescent="0.2">
      <c r="A6" s="41">
        <v>40269</v>
      </c>
      <c r="B6" s="42">
        <v>7.8091039657592773</v>
      </c>
      <c r="C6" s="42">
        <v>17.251462936401371</v>
      </c>
      <c r="D6" s="42">
        <v>33.599998474121087</v>
      </c>
      <c r="E6" s="42">
        <v>4.8400001525878906</v>
      </c>
      <c r="F6" s="42">
        <v>38.249771118164062</v>
      </c>
      <c r="G6" s="42">
        <v>6.8550000190734863</v>
      </c>
      <c r="H6" s="42">
        <v>46.010051727294922</v>
      </c>
      <c r="I6" s="42">
        <v>6.3711590766906738</v>
      </c>
      <c r="J6" s="42">
        <v>41.871730804443359</v>
      </c>
      <c r="K6" s="42">
        <v>17.266586303710941</v>
      </c>
      <c r="L6" s="42">
        <v>42.157119750976562</v>
      </c>
      <c r="M6" s="42">
        <v>31.112056732177731</v>
      </c>
      <c r="N6" s="42">
        <v>40.626510620117188</v>
      </c>
      <c r="O6" s="42">
        <v>33.608249664306641</v>
      </c>
      <c r="P6" s="42">
        <v>38.943702697753913</v>
      </c>
      <c r="Q6" s="42">
        <v>5.8000001907348633</v>
      </c>
      <c r="R6" s="42">
        <v>68.430000305175781</v>
      </c>
      <c r="S6" s="42">
        <v>52.515422821044922</v>
      </c>
      <c r="T6" s="42">
        <v>65.664337158203125</v>
      </c>
      <c r="U6" s="42">
        <v>13.031650543212891</v>
      </c>
      <c r="V6" s="42">
        <v>108.25865173339839</v>
      </c>
      <c r="W6" s="42">
        <v>23.714101791381839</v>
      </c>
      <c r="X6" s="42">
        <v>13.439999580383301</v>
      </c>
      <c r="Y6" s="42">
        <v>39.847496032714837</v>
      </c>
      <c r="Z6" s="42">
        <v>28.006278991699219</v>
      </c>
      <c r="AA6" s="42">
        <v>16.254335403442379</v>
      </c>
      <c r="AB6" s="42">
        <v>31.75191688537598</v>
      </c>
      <c r="AC6" s="42">
        <v>45.106597900390618</v>
      </c>
      <c r="AD6" s="42">
        <v>29.287857055664059</v>
      </c>
      <c r="AE6" s="42">
        <v>21.102140426635739</v>
      </c>
      <c r="AF6" s="42">
        <v>22.78581619262695</v>
      </c>
      <c r="AG6" s="42">
        <v>9.1175336837768555</v>
      </c>
      <c r="AH6" s="42">
        <v>8.0712747573852539</v>
      </c>
      <c r="AI6" s="42">
        <v>25.374080657958981</v>
      </c>
      <c r="AJ6" s="42">
        <v>0.35964801907539368</v>
      </c>
      <c r="AK6" s="42">
        <v>28.950412750244141</v>
      </c>
      <c r="AL6" s="42">
        <v>9.072239875793457</v>
      </c>
      <c r="AM6" s="42">
        <v>38.790706634521477</v>
      </c>
      <c r="AN6" s="42">
        <v>52.687397003173828</v>
      </c>
      <c r="AO6" s="42">
        <v>5.4499998092651367</v>
      </c>
      <c r="AP6" s="42">
        <v>16.8418083190918</v>
      </c>
      <c r="AQ6" s="42">
        <v>4.310389518737793</v>
      </c>
      <c r="AR6" s="42">
        <v>25.561618804931641</v>
      </c>
      <c r="AS6" s="42">
        <v>25.291336059570309</v>
      </c>
      <c r="AT6" s="42">
        <v>21.80706787109375</v>
      </c>
      <c r="AU6" s="42">
        <v>9.3225030899047852</v>
      </c>
      <c r="AV6" s="42">
        <v>17.015764236450199</v>
      </c>
      <c r="AW6" s="42">
        <v>23.351474761962891</v>
      </c>
      <c r="AX6" s="42">
        <v>26.522348403930661</v>
      </c>
      <c r="AY6" s="42">
        <v>12.81003952026367</v>
      </c>
      <c r="AZ6" s="42">
        <v>1186.68994140625</v>
      </c>
    </row>
    <row r="7" spans="1:52" ht="16" x14ac:dyDescent="0.2">
      <c r="A7" s="39">
        <v>40299</v>
      </c>
      <c r="B7" s="40">
        <v>7.6831860542297363</v>
      </c>
      <c r="C7" s="40">
        <v>16.03752517700195</v>
      </c>
      <c r="D7" s="40">
        <v>32.080001831054688</v>
      </c>
      <c r="E7" s="40">
        <v>6.179999828338623</v>
      </c>
      <c r="F7" s="40">
        <v>34.558952331542969</v>
      </c>
      <c r="G7" s="40">
        <v>6.2729997634887704</v>
      </c>
      <c r="H7" s="40">
        <v>41.056983947753913</v>
      </c>
      <c r="I7" s="40">
        <v>5.8297567367553711</v>
      </c>
      <c r="J7" s="40">
        <v>41.425327301025391</v>
      </c>
      <c r="K7" s="40">
        <v>14.849387168884279</v>
      </c>
      <c r="L7" s="40">
        <v>38.5955810546875</v>
      </c>
      <c r="M7" s="40">
        <v>28.22380256652832</v>
      </c>
      <c r="N7" s="40">
        <v>39.287296295166023</v>
      </c>
      <c r="O7" s="40">
        <v>30.084552764892582</v>
      </c>
      <c r="P7" s="40">
        <v>36.415077209472663</v>
      </c>
      <c r="Q7" s="40">
        <v>5.179999828338623</v>
      </c>
      <c r="R7" s="40">
        <v>70.330001831054688</v>
      </c>
      <c r="S7" s="40">
        <v>46.697177886962891</v>
      </c>
      <c r="T7" s="40">
        <v>56.925346374511719</v>
      </c>
      <c r="U7" s="40">
        <v>12.038350105285639</v>
      </c>
      <c r="V7" s="40">
        <v>107.826774597168</v>
      </c>
      <c r="W7" s="40">
        <v>22.791923522949219</v>
      </c>
      <c r="X7" s="40">
        <v>12.89000034332275</v>
      </c>
      <c r="Y7" s="40">
        <v>36.459228515625</v>
      </c>
      <c r="Z7" s="40">
        <v>26.033079147338871</v>
      </c>
      <c r="AA7" s="40">
        <v>15.630922317504879</v>
      </c>
      <c r="AB7" s="40">
        <v>28.59117317199707</v>
      </c>
      <c r="AC7" s="40">
        <v>43.088554382324219</v>
      </c>
      <c r="AD7" s="40">
        <v>26.264554977416989</v>
      </c>
      <c r="AE7" s="40">
        <v>18.930477142333981</v>
      </c>
      <c r="AF7" s="40">
        <v>19.336174011230469</v>
      </c>
      <c r="AG7" s="40">
        <v>8.8639984130859375</v>
      </c>
      <c r="AH7" s="40">
        <v>7.7425360679626456</v>
      </c>
      <c r="AI7" s="40">
        <v>27.577033996582031</v>
      </c>
      <c r="AJ7" s="40">
        <v>0.30081319808959961</v>
      </c>
      <c r="AK7" s="40">
        <v>20.450923919677731</v>
      </c>
      <c r="AL7" s="40">
        <v>8.2100620269775391</v>
      </c>
      <c r="AM7" s="40">
        <v>38.122982025146477</v>
      </c>
      <c r="AN7" s="40">
        <v>46.992233276367188</v>
      </c>
      <c r="AO7" s="40">
        <v>5.059999942779541</v>
      </c>
      <c r="AP7" s="40">
        <v>15.675092697143549</v>
      </c>
      <c r="AQ7" s="40">
        <v>4.0532951354980469</v>
      </c>
      <c r="AR7" s="40">
        <v>23.625827789306641</v>
      </c>
      <c r="AS7" s="40">
        <v>28.302911758422852</v>
      </c>
      <c r="AT7" s="40">
        <v>21.503982543945309</v>
      </c>
      <c r="AU7" s="40">
        <v>9.1755466461181641</v>
      </c>
      <c r="AV7" s="40">
        <v>15.975584030151371</v>
      </c>
      <c r="AW7" s="40">
        <v>22.396146774291989</v>
      </c>
      <c r="AX7" s="40">
        <v>25.160617828369141</v>
      </c>
      <c r="AY7" s="40">
        <v>12.144636154174799</v>
      </c>
      <c r="AZ7" s="40">
        <v>1089.410034179688</v>
      </c>
    </row>
    <row r="8" spans="1:52" ht="16" x14ac:dyDescent="0.2">
      <c r="A8" s="41">
        <v>40330</v>
      </c>
      <c r="B8" s="42">
        <v>7.523169994354248</v>
      </c>
      <c r="C8" s="42">
        <v>15.77450752258301</v>
      </c>
      <c r="D8" s="42">
        <v>26.430000305175781</v>
      </c>
      <c r="E8" s="42">
        <v>5.9800000190734863</v>
      </c>
      <c r="F8" s="42">
        <v>35.106227874755859</v>
      </c>
      <c r="G8" s="42">
        <v>5.4629998207092294</v>
      </c>
      <c r="H8" s="42">
        <v>40.590740203857422</v>
      </c>
      <c r="I8" s="42">
        <v>5.5977272987365723</v>
      </c>
      <c r="J8" s="42">
        <v>38.993122100830078</v>
      </c>
      <c r="K8" s="42">
        <v>13.66323661804199</v>
      </c>
      <c r="L8" s="42">
        <v>35.455474853515618</v>
      </c>
      <c r="M8" s="42">
        <v>26.602323532104489</v>
      </c>
      <c r="N8" s="42">
        <v>37.482467651367188</v>
      </c>
      <c r="O8" s="42">
        <v>28.30307769775391</v>
      </c>
      <c r="P8" s="42">
        <v>34.167804718017578</v>
      </c>
      <c r="Q8" s="42">
        <v>3.470000028610229</v>
      </c>
      <c r="R8" s="42">
        <v>68.569999694824219</v>
      </c>
      <c r="S8" s="42">
        <v>40.560401916503913</v>
      </c>
      <c r="T8" s="42">
        <v>50.524486541748047</v>
      </c>
      <c r="U8" s="42">
        <v>11.029929161071779</v>
      </c>
      <c r="V8" s="42">
        <v>98.117385864257812</v>
      </c>
      <c r="W8" s="42">
        <v>19.027156829833981</v>
      </c>
      <c r="X8" s="42">
        <v>11.069999694824221</v>
      </c>
      <c r="Y8" s="42">
        <v>36.934513092041023</v>
      </c>
      <c r="Z8" s="42">
        <v>24.079610824584961</v>
      </c>
      <c r="AA8" s="42">
        <v>15.37061023712158</v>
      </c>
      <c r="AB8" s="42">
        <v>26.516082763671879</v>
      </c>
      <c r="AC8" s="42">
        <v>42.444190979003913</v>
      </c>
      <c r="AD8" s="42">
        <v>24.313810348510739</v>
      </c>
      <c r="AE8" s="42">
        <v>16.20716667175293</v>
      </c>
      <c r="AF8" s="42">
        <v>17.245172500610352</v>
      </c>
      <c r="AG8" s="42">
        <v>8.2789144515991211</v>
      </c>
      <c r="AH8" s="42">
        <v>7.6391496658325204</v>
      </c>
      <c r="AI8" s="42">
        <v>27.306247711181641</v>
      </c>
      <c r="AJ8" s="42">
        <v>0.2337368726730347</v>
      </c>
      <c r="AK8" s="42">
        <v>19.845401763916019</v>
      </c>
      <c r="AL8" s="42">
        <v>7.9848284721374512</v>
      </c>
      <c r="AM8" s="42">
        <v>37.430278778076172</v>
      </c>
      <c r="AN8" s="42">
        <v>42.404636383056641</v>
      </c>
      <c r="AO8" s="42">
        <v>4.5199999809265137</v>
      </c>
      <c r="AP8" s="42">
        <v>14.33306789398193</v>
      </c>
      <c r="AQ8" s="42">
        <v>4.0532951354980469</v>
      </c>
      <c r="AR8" s="42">
        <v>21.818672180175781</v>
      </c>
      <c r="AS8" s="42">
        <v>22.1113395690918</v>
      </c>
      <c r="AT8" s="42">
        <v>19.41616249084473</v>
      </c>
      <c r="AU8" s="42">
        <v>8.4670925140380859</v>
      </c>
      <c r="AV8" s="42">
        <v>15.22979640960693</v>
      </c>
      <c r="AW8" s="42">
        <v>21.9717903137207</v>
      </c>
      <c r="AX8" s="42">
        <v>24.484319686889648</v>
      </c>
      <c r="AY8" s="42">
        <v>11.546534538269039</v>
      </c>
      <c r="AZ8" s="42">
        <v>1030.7099609375</v>
      </c>
    </row>
    <row r="9" spans="1:52" ht="16" x14ac:dyDescent="0.2">
      <c r="A9" s="39">
        <v>40360</v>
      </c>
      <c r="B9" s="40">
        <v>7.6942553520202637</v>
      </c>
      <c r="C9" s="40">
        <v>16.703765869140621</v>
      </c>
      <c r="D9" s="40">
        <v>28.719999313354489</v>
      </c>
      <c r="E9" s="40">
        <v>5.2800002098083496</v>
      </c>
      <c r="F9" s="40">
        <v>36.394351959228523</v>
      </c>
      <c r="G9" s="40">
        <v>5.8944997787475586</v>
      </c>
      <c r="H9" s="40">
        <v>47.445632934570312</v>
      </c>
      <c r="I9" s="40">
        <v>6.308262825012207</v>
      </c>
      <c r="J9" s="40">
        <v>40.330116271972663</v>
      </c>
      <c r="K9" s="40">
        <v>14.79168605804443</v>
      </c>
      <c r="L9" s="40">
        <v>39.818191528320312</v>
      </c>
      <c r="M9" s="40">
        <v>28.451824188232418</v>
      </c>
      <c r="N9" s="40">
        <v>40.820907592773438</v>
      </c>
      <c r="O9" s="40">
        <v>32.092796325683587</v>
      </c>
      <c r="P9" s="40">
        <v>33.914836883544922</v>
      </c>
      <c r="Q9" s="40">
        <v>3.119999885559082</v>
      </c>
      <c r="R9" s="40">
        <v>87.830001831054688</v>
      </c>
      <c r="S9" s="40">
        <v>42.423549652099609</v>
      </c>
      <c r="T9" s="40">
        <v>56.480911254882812</v>
      </c>
      <c r="U9" s="40">
        <v>12.01901340484619</v>
      </c>
      <c r="V9" s="40">
        <v>112.7300338745117</v>
      </c>
      <c r="W9" s="40">
        <v>19.325408935546879</v>
      </c>
      <c r="X9" s="40">
        <v>13.02000045776367</v>
      </c>
      <c r="Y9" s="40">
        <v>36.327911376953118</v>
      </c>
      <c r="Z9" s="40">
        <v>26.529722213745121</v>
      </c>
      <c r="AA9" s="40">
        <v>16.900934219360352</v>
      </c>
      <c r="AB9" s="40">
        <v>29.101579666137699</v>
      </c>
      <c r="AC9" s="40">
        <v>44.931434631347663</v>
      </c>
      <c r="AD9" s="40">
        <v>24.938070297241211</v>
      </c>
      <c r="AE9" s="40">
        <v>18.881650924682621</v>
      </c>
      <c r="AF9" s="40">
        <v>19.34366416931152</v>
      </c>
      <c r="AG9" s="40">
        <v>7.0989990234375</v>
      </c>
      <c r="AH9" s="40">
        <v>8.1937551498413086</v>
      </c>
      <c r="AI9" s="40">
        <v>30.958278656005859</v>
      </c>
      <c r="AJ9" s="40">
        <v>0.21038618683815</v>
      </c>
      <c r="AK9" s="40">
        <v>21.869716644287109</v>
      </c>
      <c r="AL9" s="40">
        <v>8.6736621856689453</v>
      </c>
      <c r="AM9" s="40">
        <v>38.465351104736328</v>
      </c>
      <c r="AN9" s="40">
        <v>47.496856689453118</v>
      </c>
      <c r="AO9" s="40">
        <v>4.5199999809265137</v>
      </c>
      <c r="AP9" s="40">
        <v>15.269026756286619</v>
      </c>
      <c r="AQ9" s="40">
        <v>4.1482577323913574</v>
      </c>
      <c r="AR9" s="40">
        <v>25.300094604492191</v>
      </c>
      <c r="AS9" s="40">
        <v>23.963861465454102</v>
      </c>
      <c r="AT9" s="40">
        <v>19.404937744140621</v>
      </c>
      <c r="AU9" s="40">
        <v>8.3803033828735352</v>
      </c>
      <c r="AV9" s="40">
        <v>16.228353500366211</v>
      </c>
      <c r="AW9" s="40">
        <v>23.557779312133789</v>
      </c>
      <c r="AX9" s="40">
        <v>26.301881790161129</v>
      </c>
      <c r="AY9" s="40">
        <v>12.295967102050779</v>
      </c>
      <c r="AZ9" s="40">
        <v>1101.599975585938</v>
      </c>
    </row>
    <row r="10" spans="1:52" ht="16" x14ac:dyDescent="0.2">
      <c r="A10" s="41">
        <v>40391</v>
      </c>
      <c r="B10" s="42">
        <v>7.271031379699707</v>
      </c>
      <c r="C10" s="42">
        <v>16.79226112365723</v>
      </c>
      <c r="D10" s="42">
        <v>27.70000076293945</v>
      </c>
      <c r="E10" s="42">
        <v>5.2199997901916504</v>
      </c>
      <c r="F10" s="42">
        <v>34.065055847167969</v>
      </c>
      <c r="G10" s="42">
        <v>6.2414999008178711</v>
      </c>
      <c r="H10" s="42">
        <v>44.323398590087891</v>
      </c>
      <c r="I10" s="42">
        <v>5.5403861999511719</v>
      </c>
      <c r="J10" s="42">
        <v>40.326938629150391</v>
      </c>
      <c r="K10" s="42">
        <v>12.816904067993161</v>
      </c>
      <c r="L10" s="42">
        <v>39.067268371582031</v>
      </c>
      <c r="M10" s="42">
        <v>27.480623245239261</v>
      </c>
      <c r="N10" s="42">
        <v>39.560646057128913</v>
      </c>
      <c r="O10" s="42">
        <v>30.421405792236332</v>
      </c>
      <c r="P10" s="42">
        <v>30.21726226806641</v>
      </c>
      <c r="Q10" s="42">
        <v>2.970000028610229</v>
      </c>
      <c r="R10" s="42">
        <v>87.430000305175781</v>
      </c>
      <c r="S10" s="42">
        <v>38.69720458984375</v>
      </c>
      <c r="T10" s="42">
        <v>50.734722137451172</v>
      </c>
      <c r="U10" s="42">
        <v>11.15560817718506</v>
      </c>
      <c r="V10" s="42">
        <v>102.6049728393555</v>
      </c>
      <c r="W10" s="42">
        <v>19.01804161071777</v>
      </c>
      <c r="X10" s="42">
        <v>12.510000228881839</v>
      </c>
      <c r="Y10" s="42">
        <v>35.995040893554688</v>
      </c>
      <c r="Z10" s="42">
        <v>23.94788932800293</v>
      </c>
      <c r="AA10" s="42">
        <v>17.137067794799801</v>
      </c>
      <c r="AB10" s="42">
        <v>30.924129486083981</v>
      </c>
      <c r="AC10" s="42">
        <v>47.429737091064453</v>
      </c>
      <c r="AD10" s="42">
        <v>21.214555740356449</v>
      </c>
      <c r="AE10" s="42">
        <v>17.272613525390621</v>
      </c>
      <c r="AF10" s="42">
        <v>17.683755874633789</v>
      </c>
      <c r="AG10" s="42">
        <v>6.2993850708007812</v>
      </c>
      <c r="AH10" s="42">
        <v>8.4960393905639648</v>
      </c>
      <c r="AI10" s="42">
        <v>29.553094863891602</v>
      </c>
      <c r="AJ10" s="42">
        <v>0.21359117329120639</v>
      </c>
      <c r="AK10" s="42">
        <v>22.103975296020511</v>
      </c>
      <c r="AL10" s="42">
        <v>7.9988598823547363</v>
      </c>
      <c r="AM10" s="42">
        <v>37.528255462646477</v>
      </c>
      <c r="AN10" s="42">
        <v>45.419837951660163</v>
      </c>
      <c r="AO10" s="42">
        <v>4.309999942779541</v>
      </c>
      <c r="AP10" s="42">
        <v>14.55329608917236</v>
      </c>
      <c r="AQ10" s="42">
        <v>4.1830005645751953</v>
      </c>
      <c r="AR10" s="42">
        <v>25.57398796081543</v>
      </c>
      <c r="AS10" s="42">
        <v>21.774518966674801</v>
      </c>
      <c r="AT10" s="42">
        <v>19.8526725769043</v>
      </c>
      <c r="AU10" s="42">
        <v>8.038996696472168</v>
      </c>
      <c r="AV10" s="42">
        <v>15.13068771362305</v>
      </c>
      <c r="AW10" s="42">
        <v>24.540328979492191</v>
      </c>
      <c r="AX10" s="42">
        <v>25.810125350952148</v>
      </c>
      <c r="AY10" s="42">
        <v>12.114040374755859</v>
      </c>
      <c r="AZ10" s="42">
        <v>1049.329956054688</v>
      </c>
    </row>
    <row r="11" spans="1:52" ht="16" x14ac:dyDescent="0.2">
      <c r="A11" s="39">
        <v>40422</v>
      </c>
      <c r="B11" s="40">
        <v>8.4868593215942383</v>
      </c>
      <c r="C11" s="40">
        <v>17.779243469238281</v>
      </c>
      <c r="D11" s="40">
        <v>26.14999961853027</v>
      </c>
      <c r="E11" s="40">
        <v>3.970000028610229</v>
      </c>
      <c r="F11" s="40">
        <v>36.781459808349609</v>
      </c>
      <c r="G11" s="40">
        <v>7.8530001640319824</v>
      </c>
      <c r="H11" s="40">
        <v>53.52001953125</v>
      </c>
      <c r="I11" s="40">
        <v>5.857903003692627</v>
      </c>
      <c r="J11" s="40">
        <v>46.029834747314453</v>
      </c>
      <c r="K11" s="40">
        <v>14.04152774810791</v>
      </c>
      <c r="L11" s="40">
        <v>42.743011474609382</v>
      </c>
      <c r="M11" s="40">
        <v>27.95355224609375</v>
      </c>
      <c r="N11" s="40">
        <v>42.479537963867188</v>
      </c>
      <c r="O11" s="40">
        <v>34.340652465820312</v>
      </c>
      <c r="P11" s="40">
        <v>32.339103698730469</v>
      </c>
      <c r="Q11" s="40">
        <v>3.9200000762939449</v>
      </c>
      <c r="R11" s="40">
        <v>103.80999755859381</v>
      </c>
      <c r="S11" s="40">
        <v>43.504051208496087</v>
      </c>
      <c r="T11" s="40">
        <v>57.357616424560547</v>
      </c>
      <c r="U11" s="40">
        <v>13.033882141113279</v>
      </c>
      <c r="V11" s="40">
        <v>108.337272644043</v>
      </c>
      <c r="W11" s="40">
        <v>21.656784057617191</v>
      </c>
      <c r="X11" s="40">
        <v>15.989999771118161</v>
      </c>
      <c r="Y11" s="40">
        <v>39.113521575927727</v>
      </c>
      <c r="Z11" s="40">
        <v>25.067569732666019</v>
      </c>
      <c r="AA11" s="40">
        <v>18.082651138305661</v>
      </c>
      <c r="AB11" s="40">
        <v>36.333976745605469</v>
      </c>
      <c r="AC11" s="40">
        <v>48.371051788330078</v>
      </c>
      <c r="AD11" s="40">
        <v>22.65135383605957</v>
      </c>
      <c r="AE11" s="40">
        <v>17.265621185302731</v>
      </c>
      <c r="AF11" s="40">
        <v>18.452291488647461</v>
      </c>
      <c r="AG11" s="40">
        <v>7.0307397842407227</v>
      </c>
      <c r="AH11" s="40">
        <v>8.6004018783569336</v>
      </c>
      <c r="AI11" s="40">
        <v>36.440040588378913</v>
      </c>
      <c r="AJ11" s="40">
        <v>0.26738950610160828</v>
      </c>
      <c r="AK11" s="40">
        <v>23.805643081665039</v>
      </c>
      <c r="AL11" s="40">
        <v>8.3959121704101562</v>
      </c>
      <c r="AM11" s="40">
        <v>37.716926574707031</v>
      </c>
      <c r="AN11" s="40">
        <v>53.788242340087891</v>
      </c>
      <c r="AO11" s="40">
        <v>5.2899999618530273</v>
      </c>
      <c r="AP11" s="40">
        <v>16.19276237487793</v>
      </c>
      <c r="AQ11" s="40">
        <v>4.9681816101074219</v>
      </c>
      <c r="AR11" s="40">
        <v>30.134584426879879</v>
      </c>
      <c r="AS11" s="40">
        <v>27.143850326538089</v>
      </c>
      <c r="AT11" s="40">
        <v>21.195365905761719</v>
      </c>
      <c r="AU11" s="40">
        <v>9.0395679473876953</v>
      </c>
      <c r="AV11" s="40">
        <v>17.83869743347168</v>
      </c>
      <c r="AW11" s="40">
        <v>27.263193130493161</v>
      </c>
      <c r="AX11" s="40">
        <v>28.945285797119141</v>
      </c>
      <c r="AY11" s="40">
        <v>12.9306697845459</v>
      </c>
      <c r="AZ11" s="40">
        <v>1141.199951171875</v>
      </c>
    </row>
    <row r="12" spans="1:52" ht="16" x14ac:dyDescent="0.2">
      <c r="A12" s="41">
        <v>40452</v>
      </c>
      <c r="B12" s="42">
        <v>9.0021982192993164</v>
      </c>
      <c r="C12" s="42">
        <v>17.61094856262207</v>
      </c>
      <c r="D12" s="42">
        <v>28.14999961853027</v>
      </c>
      <c r="E12" s="42">
        <v>3.0399999618530269</v>
      </c>
      <c r="F12" s="42">
        <v>38.169696807861328</v>
      </c>
      <c r="G12" s="42">
        <v>8.261500358581543</v>
      </c>
      <c r="H12" s="42">
        <v>53.760086059570312</v>
      </c>
      <c r="I12" s="42">
        <v>6.7199244499206543</v>
      </c>
      <c r="J12" s="42">
        <v>44.946880340576172</v>
      </c>
      <c r="K12" s="42">
        <v>14.65704917907715</v>
      </c>
      <c r="L12" s="42">
        <v>43.560436248779297</v>
      </c>
      <c r="M12" s="42">
        <v>30.512447357177731</v>
      </c>
      <c r="N12" s="42">
        <v>41.290721893310547</v>
      </c>
      <c r="O12" s="42">
        <v>35.801399230957031</v>
      </c>
      <c r="P12" s="42">
        <v>33.347938537597663</v>
      </c>
      <c r="Q12" s="42">
        <v>4.4699997901916504</v>
      </c>
      <c r="R12" s="42">
        <v>117.6999969482422</v>
      </c>
      <c r="S12" s="42">
        <v>47.496524810791023</v>
      </c>
      <c r="T12" s="42">
        <v>56.545783996582031</v>
      </c>
      <c r="U12" s="42">
        <v>15.21309661865234</v>
      </c>
      <c r="V12" s="42">
        <v>120.73858642578119</v>
      </c>
      <c r="W12" s="42">
        <v>21.123565673828121</v>
      </c>
      <c r="X12" s="42">
        <v>16.659999847412109</v>
      </c>
      <c r="Y12" s="42">
        <v>40.2371826171875</v>
      </c>
      <c r="Z12" s="42">
        <v>24.816314697265621</v>
      </c>
      <c r="AA12" s="42">
        <v>18.947847366333011</v>
      </c>
      <c r="AB12" s="42">
        <v>48.353034973144531</v>
      </c>
      <c r="AC12" s="42">
        <v>50.487422943115227</v>
      </c>
      <c r="AD12" s="42">
        <v>23.923225402832031</v>
      </c>
      <c r="AE12" s="42">
        <v>17.434574127197269</v>
      </c>
      <c r="AF12" s="42">
        <v>20.09483528137207</v>
      </c>
      <c r="AG12" s="42">
        <v>8.0546321868896484</v>
      </c>
      <c r="AH12" s="42">
        <v>8.70318603515625</v>
      </c>
      <c r="AI12" s="42">
        <v>38.972305297851562</v>
      </c>
      <c r="AJ12" s="42">
        <v>0.27517309784889221</v>
      </c>
      <c r="AK12" s="42">
        <v>27.345989227294918</v>
      </c>
      <c r="AL12" s="42">
        <v>9.3768234252929688</v>
      </c>
      <c r="AM12" s="42">
        <v>40.288433074951172</v>
      </c>
      <c r="AN12" s="42">
        <v>58.770923614501953</v>
      </c>
      <c r="AO12" s="42">
        <v>6.2899999618530273</v>
      </c>
      <c r="AP12" s="42">
        <v>17.4293212890625</v>
      </c>
      <c r="AQ12" s="42">
        <v>4.8709030151367188</v>
      </c>
      <c r="AR12" s="42">
        <v>30.15461540222168</v>
      </c>
      <c r="AS12" s="42">
        <v>25.865909576416019</v>
      </c>
      <c r="AT12" s="42">
        <v>20.583257675170898</v>
      </c>
      <c r="AU12" s="42">
        <v>9.294774055480957</v>
      </c>
      <c r="AV12" s="42">
        <v>19.522100448608398</v>
      </c>
      <c r="AW12" s="42">
        <v>27.993095397949219</v>
      </c>
      <c r="AX12" s="42">
        <v>31.025949478149411</v>
      </c>
      <c r="AY12" s="42">
        <v>13.087716102600099</v>
      </c>
      <c r="AZ12" s="42">
        <v>1183.260009765625</v>
      </c>
    </row>
    <row r="13" spans="1:52" ht="16" x14ac:dyDescent="0.2">
      <c r="A13" s="39">
        <v>40483</v>
      </c>
      <c r="B13" s="40">
        <v>9.3063831329345703</v>
      </c>
      <c r="C13" s="40">
        <v>15.96034526824951</v>
      </c>
      <c r="D13" s="40">
        <v>27.79999923706055</v>
      </c>
      <c r="E13" s="40">
        <v>4.1500000953674316</v>
      </c>
      <c r="F13" s="40">
        <v>35.166294097900391</v>
      </c>
      <c r="G13" s="40">
        <v>8.7700004577636719</v>
      </c>
      <c r="H13" s="40">
        <v>57.863948822021477</v>
      </c>
      <c r="I13" s="40">
        <v>6.5277438163757324</v>
      </c>
      <c r="J13" s="40">
        <v>48.41259765625</v>
      </c>
      <c r="K13" s="40">
        <v>12.28472995758057</v>
      </c>
      <c r="L13" s="40">
        <v>43.066219329833977</v>
      </c>
      <c r="M13" s="40">
        <v>30.8333625793457</v>
      </c>
      <c r="N13" s="40">
        <v>40.026561737060547</v>
      </c>
      <c r="O13" s="40">
        <v>36.131484985351562</v>
      </c>
      <c r="P13" s="40">
        <v>30.989316940307621</v>
      </c>
      <c r="Q13" s="40">
        <v>5.7899999618530273</v>
      </c>
      <c r="R13" s="40">
        <v>131.8800048828125</v>
      </c>
      <c r="S13" s="40">
        <v>46.081092834472663</v>
      </c>
      <c r="T13" s="40">
        <v>55.875141143798828</v>
      </c>
      <c r="U13" s="40">
        <v>13.775571823120121</v>
      </c>
      <c r="V13" s="40">
        <v>117.257080078125</v>
      </c>
      <c r="W13" s="40">
        <v>20.811910629272461</v>
      </c>
      <c r="X13" s="40">
        <v>14.510000228881839</v>
      </c>
      <c r="Y13" s="40">
        <v>39.189052581787109</v>
      </c>
      <c r="Z13" s="40">
        <v>24.664630889892582</v>
      </c>
      <c r="AA13" s="40">
        <v>19.654392242431641</v>
      </c>
      <c r="AB13" s="40">
        <v>49.585006713867188</v>
      </c>
      <c r="AC13" s="40">
        <v>51.2293701171875</v>
      </c>
      <c r="AD13" s="40">
        <v>22.76882362365723</v>
      </c>
      <c r="AE13" s="40">
        <v>17.14715576171875</v>
      </c>
      <c r="AF13" s="40">
        <v>19.149394989013668</v>
      </c>
      <c r="AG13" s="40">
        <v>7.0892472267150879</v>
      </c>
      <c r="AH13" s="40">
        <v>8.0818462371826172</v>
      </c>
      <c r="AI13" s="40">
        <v>37.274360656738281</v>
      </c>
      <c r="AJ13" s="40">
        <v>0.31157290935516357</v>
      </c>
      <c r="AK13" s="40">
        <v>30.54157829284668</v>
      </c>
      <c r="AL13" s="40">
        <v>9.6196250915527344</v>
      </c>
      <c r="AM13" s="40">
        <v>38.704029083251953</v>
      </c>
      <c r="AN13" s="40">
        <v>61.815731048583977</v>
      </c>
      <c r="AO13" s="40">
        <v>6.3899998664855957</v>
      </c>
      <c r="AP13" s="40">
        <v>18.047601699829102</v>
      </c>
      <c r="AQ13" s="40">
        <v>5.3735108375549316</v>
      </c>
      <c r="AR13" s="40">
        <v>31.387386322021481</v>
      </c>
      <c r="AS13" s="40">
        <v>28.550577163696289</v>
      </c>
      <c r="AT13" s="40">
        <v>21.024641036987301</v>
      </c>
      <c r="AU13" s="40">
        <v>9.2675809860229492</v>
      </c>
      <c r="AV13" s="40">
        <v>20.99434852600098</v>
      </c>
      <c r="AW13" s="40">
        <v>28.358058929443359</v>
      </c>
      <c r="AX13" s="40">
        <v>32.019882202148438</v>
      </c>
      <c r="AY13" s="40">
        <v>13.068380355834959</v>
      </c>
      <c r="AZ13" s="40">
        <v>1180.550048828125</v>
      </c>
    </row>
    <row r="14" spans="1:52" ht="16" x14ac:dyDescent="0.2">
      <c r="A14" s="41">
        <v>40513</v>
      </c>
      <c r="B14" s="42">
        <v>9.6476535797119141</v>
      </c>
      <c r="C14" s="42">
        <v>16.440769195556641</v>
      </c>
      <c r="D14" s="42">
        <v>30.780000686645511</v>
      </c>
      <c r="E14" s="42">
        <v>4.0999999046325684</v>
      </c>
      <c r="F14" s="42">
        <v>36.64129638671875</v>
      </c>
      <c r="G14" s="42">
        <v>9</v>
      </c>
      <c r="H14" s="42">
        <v>64.060722351074219</v>
      </c>
      <c r="I14" s="42">
        <v>7.1564092636108398</v>
      </c>
      <c r="J14" s="42">
        <v>51.706451416015618</v>
      </c>
      <c r="K14" s="42">
        <v>12.97077751159668</v>
      </c>
      <c r="L14" s="42">
        <v>48.533924102783203</v>
      </c>
      <c r="M14" s="42">
        <v>32.024368286132812</v>
      </c>
      <c r="N14" s="42">
        <v>42.360599517822273</v>
      </c>
      <c r="O14" s="42">
        <v>37.509304046630859</v>
      </c>
      <c r="P14" s="42">
        <v>31.846364974975589</v>
      </c>
      <c r="Q14" s="42">
        <v>8.2100000381469727</v>
      </c>
      <c r="R14" s="42">
        <v>130.1600036621094</v>
      </c>
      <c r="S14" s="42">
        <v>49.476676940917969</v>
      </c>
      <c r="T14" s="42">
        <v>65.067108154296875</v>
      </c>
      <c r="U14" s="42">
        <v>14.7240047454834</v>
      </c>
      <c r="V14" s="42">
        <v>126.2838897705078</v>
      </c>
      <c r="W14" s="42">
        <v>24.153121948242191</v>
      </c>
      <c r="X14" s="42">
        <v>16.559999465942379</v>
      </c>
      <c r="Y14" s="42">
        <v>39.380069732666023</v>
      </c>
      <c r="Z14" s="42">
        <v>27.97524452209473</v>
      </c>
      <c r="AA14" s="42">
        <v>20.463346481323239</v>
      </c>
      <c r="AB14" s="42">
        <v>49.91253662109375</v>
      </c>
      <c r="AC14" s="42">
        <v>50.221771240234382</v>
      </c>
      <c r="AD14" s="42">
        <v>25.186277389526371</v>
      </c>
      <c r="AE14" s="42">
        <v>19.074981689453121</v>
      </c>
      <c r="AF14" s="42">
        <v>21.1583366394043</v>
      </c>
      <c r="AG14" s="42">
        <v>7.8206005096435547</v>
      </c>
      <c r="AH14" s="42">
        <v>8.3005781173706055</v>
      </c>
      <c r="AI14" s="42">
        <v>40.223812103271477</v>
      </c>
      <c r="AJ14" s="42">
        <v>0.35255128145217901</v>
      </c>
      <c r="AK14" s="42">
        <v>32.543792724609382</v>
      </c>
      <c r="AL14" s="42">
        <v>10.44023323059082</v>
      </c>
      <c r="AM14" s="42">
        <v>40.770103454589837</v>
      </c>
      <c r="AN14" s="42">
        <v>66.492507934570312</v>
      </c>
      <c r="AO14" s="42">
        <v>5.9099998474121094</v>
      </c>
      <c r="AP14" s="42">
        <v>19.78240966796875</v>
      </c>
      <c r="AQ14" s="42">
        <v>5.4754219055175781</v>
      </c>
      <c r="AR14" s="42">
        <v>33.177318572998047</v>
      </c>
      <c r="AS14" s="42">
        <v>32.523086547851562</v>
      </c>
      <c r="AT14" s="42">
        <v>23.740242004394531</v>
      </c>
      <c r="AU14" s="42">
        <v>9.0196905136108398</v>
      </c>
      <c r="AV14" s="42">
        <v>21.456480026245121</v>
      </c>
      <c r="AW14" s="42">
        <v>28.132108688354489</v>
      </c>
      <c r="AX14" s="42">
        <v>32.926013946533203</v>
      </c>
      <c r="AY14" s="42">
        <v>13.101784706115721</v>
      </c>
      <c r="AZ14" s="42">
        <v>1257.640014648438</v>
      </c>
    </row>
    <row r="15" spans="1:52" ht="16" x14ac:dyDescent="0.2">
      <c r="A15" s="39">
        <v>40544</v>
      </c>
      <c r="B15" s="40">
        <v>10.14893054962158</v>
      </c>
      <c r="C15" s="40">
        <v>15.640933036804199</v>
      </c>
      <c r="D15" s="40">
        <v>33.049999237060547</v>
      </c>
      <c r="E15" s="40">
        <v>4.630000114440918</v>
      </c>
      <c r="F15" s="40">
        <v>36.761425018310547</v>
      </c>
      <c r="G15" s="40">
        <v>8.4820003509521484</v>
      </c>
      <c r="H15" s="40">
        <v>66.664031982421875</v>
      </c>
      <c r="I15" s="40">
        <v>7.4426684379577637</v>
      </c>
      <c r="J15" s="40">
        <v>51.441509246826172</v>
      </c>
      <c r="K15" s="40">
        <v>13.56064605712891</v>
      </c>
      <c r="L15" s="40">
        <v>50.491233825683587</v>
      </c>
      <c r="M15" s="40">
        <v>33.185478210449219</v>
      </c>
      <c r="N15" s="40">
        <v>41.747291564941413</v>
      </c>
      <c r="O15" s="40">
        <v>38.631237030029297</v>
      </c>
      <c r="P15" s="40">
        <v>37.124736785888672</v>
      </c>
      <c r="Q15" s="40">
        <v>8.6700000762939453</v>
      </c>
      <c r="R15" s="40">
        <v>108.379997253418</v>
      </c>
      <c r="S15" s="40">
        <v>52.884201049804688</v>
      </c>
      <c r="T15" s="40">
        <v>71.648574829101562</v>
      </c>
      <c r="U15" s="40">
        <v>14.882407188415529</v>
      </c>
      <c r="V15" s="40">
        <v>122.8743896484375</v>
      </c>
      <c r="W15" s="40">
        <v>25.331144332885739</v>
      </c>
      <c r="X15" s="40">
        <v>14.739999771118161</v>
      </c>
      <c r="Y15" s="40">
        <v>38.055728912353523</v>
      </c>
      <c r="Z15" s="40">
        <v>29.67116737365723</v>
      </c>
      <c r="AA15" s="40">
        <v>19.554830551147461</v>
      </c>
      <c r="AB15" s="40">
        <v>54.657695770263672</v>
      </c>
      <c r="AC15" s="40">
        <v>48.200088500976562</v>
      </c>
      <c r="AD15" s="40">
        <v>26.1802978515625</v>
      </c>
      <c r="AE15" s="40">
        <v>20.645814895629879</v>
      </c>
      <c r="AF15" s="40">
        <v>21.021877288818359</v>
      </c>
      <c r="AG15" s="40">
        <v>10.277945518493651</v>
      </c>
      <c r="AH15" s="40">
        <v>8.5352745056152344</v>
      </c>
      <c r="AI15" s="40">
        <v>40.055484771728523</v>
      </c>
      <c r="AJ15" s="40">
        <v>0.54759901762008667</v>
      </c>
      <c r="AK15" s="40">
        <v>34.134975433349609</v>
      </c>
      <c r="AL15" s="40">
        <v>11.18226432800293</v>
      </c>
      <c r="AM15" s="40">
        <v>40.306179046630859</v>
      </c>
      <c r="AN15" s="40">
        <v>68.888717651367188</v>
      </c>
      <c r="AO15" s="40">
        <v>6.5900001525878906</v>
      </c>
      <c r="AP15" s="40">
        <v>20.930301666259769</v>
      </c>
      <c r="AQ15" s="40">
        <v>5.9849796295166016</v>
      </c>
      <c r="AR15" s="40">
        <v>36.287891387939453</v>
      </c>
      <c r="AS15" s="40">
        <v>33.365142822265618</v>
      </c>
      <c r="AT15" s="40">
        <v>24.01804161071777</v>
      </c>
      <c r="AU15" s="40">
        <v>9.6292667388916016</v>
      </c>
      <c r="AV15" s="40">
        <v>22.472490310668949</v>
      </c>
      <c r="AW15" s="40">
        <v>31.980695724487301</v>
      </c>
      <c r="AX15" s="40">
        <v>33.62603759765625</v>
      </c>
      <c r="AY15" s="40">
        <v>13.62167930603027</v>
      </c>
      <c r="AZ15" s="40">
        <v>1286.119995117188</v>
      </c>
    </row>
    <row r="16" spans="1:52" ht="16" x14ac:dyDescent="0.2">
      <c r="A16" s="41">
        <v>40575</v>
      </c>
      <c r="B16" s="42">
        <v>10.56438159942627</v>
      </c>
      <c r="C16" s="42">
        <v>16.659189224243161</v>
      </c>
      <c r="D16" s="42">
        <v>34.5</v>
      </c>
      <c r="E16" s="42">
        <v>4.4899997711181641</v>
      </c>
      <c r="F16" s="42">
        <v>34.258613586425781</v>
      </c>
      <c r="G16" s="42">
        <v>8.6645002365112305</v>
      </c>
      <c r="H16" s="42">
        <v>70.732162475585938</v>
      </c>
      <c r="I16" s="42">
        <v>8.4273891448974609</v>
      </c>
      <c r="J16" s="42">
        <v>53.701061248779297</v>
      </c>
      <c r="K16" s="42">
        <v>11.900033950805661</v>
      </c>
      <c r="L16" s="42">
        <v>55.597431182861328</v>
      </c>
      <c r="M16" s="42">
        <v>37.343273162841797</v>
      </c>
      <c r="N16" s="42">
        <v>40.865131378173828</v>
      </c>
      <c r="O16" s="42">
        <v>39.364421844482422</v>
      </c>
      <c r="P16" s="42">
        <v>39.190517425537109</v>
      </c>
      <c r="Q16" s="42">
        <v>12.44999980926514</v>
      </c>
      <c r="R16" s="42">
        <v>118.0100021362305</v>
      </c>
      <c r="S16" s="42">
        <v>53.389217376708977</v>
      </c>
      <c r="T16" s="42">
        <v>74.938423156738281</v>
      </c>
      <c r="U16" s="42">
        <v>15.20565891265869</v>
      </c>
      <c r="V16" s="42">
        <v>123.2558288574219</v>
      </c>
      <c r="W16" s="42">
        <v>25.813388824462891</v>
      </c>
      <c r="X16" s="42">
        <v>13.680000305175779</v>
      </c>
      <c r="Y16" s="42">
        <v>39.472805023193359</v>
      </c>
      <c r="Z16" s="42">
        <v>30.826597213745121</v>
      </c>
      <c r="AA16" s="42">
        <v>19.887741088867191</v>
      </c>
      <c r="AB16" s="42">
        <v>59.373683929443359</v>
      </c>
      <c r="AC16" s="42">
        <v>49.920055389404297</v>
      </c>
      <c r="AD16" s="42">
        <v>27.273408889770511</v>
      </c>
      <c r="AE16" s="42">
        <v>20.84244346618652</v>
      </c>
      <c r="AF16" s="42">
        <v>20.269174575805661</v>
      </c>
      <c r="AG16" s="42">
        <v>10.853275299072269</v>
      </c>
      <c r="AH16" s="42">
        <v>8.8561849594116211</v>
      </c>
      <c r="AI16" s="42">
        <v>37.808639526367188</v>
      </c>
      <c r="AJ16" s="42">
        <v>0.51875382661819458</v>
      </c>
      <c r="AK16" s="42">
        <v>36.963714599609382</v>
      </c>
      <c r="AL16" s="42">
        <v>12.26080894470215</v>
      </c>
      <c r="AM16" s="42">
        <v>40.255115509033203</v>
      </c>
      <c r="AN16" s="42">
        <v>68.952079772949219</v>
      </c>
      <c r="AO16" s="42">
        <v>8.9399995803833008</v>
      </c>
      <c r="AP16" s="42">
        <v>22.886016845703121</v>
      </c>
      <c r="AQ16" s="42">
        <v>6.5825514793395996</v>
      </c>
      <c r="AR16" s="42">
        <v>40.072219848632812</v>
      </c>
      <c r="AS16" s="42">
        <v>35.930931091308587</v>
      </c>
      <c r="AT16" s="42">
        <v>23.379730224609379</v>
      </c>
      <c r="AU16" s="42">
        <v>10.16380023956299</v>
      </c>
      <c r="AV16" s="42">
        <v>23.59909629821777</v>
      </c>
      <c r="AW16" s="42">
        <v>33.172687530517578</v>
      </c>
      <c r="AX16" s="42">
        <v>34.042987823486328</v>
      </c>
      <c r="AY16" s="42">
        <v>12.6280517578125</v>
      </c>
      <c r="AZ16" s="42">
        <v>1327.219970703125</v>
      </c>
    </row>
    <row r="17" spans="1:52" ht="16" x14ac:dyDescent="0.2">
      <c r="A17" s="39">
        <v>40603</v>
      </c>
      <c r="B17" s="40">
        <v>10.42380523681641</v>
      </c>
      <c r="C17" s="40">
        <v>16.988212585449219</v>
      </c>
      <c r="D17" s="40">
        <v>33.159999847412109</v>
      </c>
      <c r="E17" s="40">
        <v>5.0100002288818359</v>
      </c>
      <c r="F17" s="40">
        <v>35.673530578613281</v>
      </c>
      <c r="G17" s="40">
        <v>9.006500244140625</v>
      </c>
      <c r="H17" s="40">
        <v>76.518272399902344</v>
      </c>
      <c r="I17" s="40">
        <v>8.0871524810791016</v>
      </c>
      <c r="J17" s="40">
        <v>52.645561218261719</v>
      </c>
      <c r="K17" s="40">
        <v>11.03450393676758</v>
      </c>
      <c r="L17" s="40">
        <v>57.601665496826172</v>
      </c>
      <c r="M17" s="40">
        <v>36.788330078125</v>
      </c>
      <c r="N17" s="40">
        <v>43.018291473388672</v>
      </c>
      <c r="O17" s="40">
        <v>38.552860260009773</v>
      </c>
      <c r="P17" s="40">
        <v>41.354007720947273</v>
      </c>
      <c r="Q17" s="40">
        <v>11.329999923706049</v>
      </c>
      <c r="R17" s="40">
        <v>102.5699996948242</v>
      </c>
      <c r="S17" s="40">
        <v>53.69781494140625</v>
      </c>
      <c r="T17" s="40">
        <v>71.822006225585938</v>
      </c>
      <c r="U17" s="40">
        <v>14.54527473449707</v>
      </c>
      <c r="V17" s="40">
        <v>119.35755920410161</v>
      </c>
      <c r="W17" s="40">
        <v>25.705228805541989</v>
      </c>
      <c r="X17" s="40">
        <v>15.85000038146973</v>
      </c>
      <c r="Y17" s="40">
        <v>38.065822601318359</v>
      </c>
      <c r="Z17" s="40">
        <v>30.437063217163089</v>
      </c>
      <c r="AA17" s="40">
        <v>20.790353775024411</v>
      </c>
      <c r="AB17" s="40">
        <v>66.445404052734375</v>
      </c>
      <c r="AC17" s="40">
        <v>50.190509796142578</v>
      </c>
      <c r="AD17" s="40">
        <v>26.883989334106449</v>
      </c>
      <c r="AE17" s="40">
        <v>19.185163497924801</v>
      </c>
      <c r="AF17" s="40">
        <v>19.361709594726559</v>
      </c>
      <c r="AG17" s="40">
        <v>11.184823036193849</v>
      </c>
      <c r="AH17" s="40">
        <v>8.8906412124633789</v>
      </c>
      <c r="AI17" s="40">
        <v>35.239749908447273</v>
      </c>
      <c r="AJ17" s="40">
        <v>0.42260360717773438</v>
      </c>
      <c r="AK17" s="40">
        <v>39.536106109619141</v>
      </c>
      <c r="AL17" s="40">
        <v>12.699436187744141</v>
      </c>
      <c r="AM17" s="40">
        <v>39.329326629638672</v>
      </c>
      <c r="AN17" s="40">
        <v>73.204559326171875</v>
      </c>
      <c r="AO17" s="40">
        <v>8.9700002670288086</v>
      </c>
      <c r="AP17" s="40">
        <v>22.628091812133789</v>
      </c>
      <c r="AQ17" s="40">
        <v>6.1633248329162598</v>
      </c>
      <c r="AR17" s="40">
        <v>36.877475738525391</v>
      </c>
      <c r="AS17" s="40">
        <v>44.519874572753913</v>
      </c>
      <c r="AT17" s="40">
        <v>23.912113189697269</v>
      </c>
      <c r="AU17" s="40">
        <v>10.13526630401611</v>
      </c>
      <c r="AV17" s="40">
        <v>22.903249740600589</v>
      </c>
      <c r="AW17" s="40">
        <v>35.315174102783203</v>
      </c>
      <c r="AX17" s="40">
        <v>35.084854125976562</v>
      </c>
      <c r="AY17" s="40">
        <v>12.73369216918945</v>
      </c>
      <c r="AZ17" s="40">
        <v>1325.829956054688</v>
      </c>
    </row>
    <row r="18" spans="1:52" ht="16" x14ac:dyDescent="0.2">
      <c r="A18" s="41">
        <v>40634</v>
      </c>
      <c r="B18" s="42">
        <v>10.47225856781006</v>
      </c>
      <c r="C18" s="42">
        <v>18.194931030273441</v>
      </c>
      <c r="D18" s="42">
        <v>33.549999237060547</v>
      </c>
      <c r="E18" s="42">
        <v>5.9899997711181641</v>
      </c>
      <c r="F18" s="42">
        <v>37.942768096923828</v>
      </c>
      <c r="G18" s="42">
        <v>9.7904996871948242</v>
      </c>
      <c r="H18" s="42">
        <v>79.638542175292969</v>
      </c>
      <c r="I18" s="42">
        <v>8.6132144927978516</v>
      </c>
      <c r="J18" s="42">
        <v>58.08099365234375</v>
      </c>
      <c r="K18" s="42">
        <v>11.27256393432617</v>
      </c>
      <c r="L18" s="42">
        <v>58.646602630615227</v>
      </c>
      <c r="M18" s="42">
        <v>36.796867370605469</v>
      </c>
      <c r="N18" s="42">
        <v>44.485385894775391</v>
      </c>
      <c r="O18" s="42">
        <v>40.096820831298828</v>
      </c>
      <c r="P18" s="42">
        <v>39.506614685058587</v>
      </c>
      <c r="Q18" s="42">
        <v>12.260000228881839</v>
      </c>
      <c r="R18" s="42">
        <v>101.36000061035161</v>
      </c>
      <c r="S18" s="42">
        <v>51.398468017578118</v>
      </c>
      <c r="T18" s="42">
        <v>73.254837036132812</v>
      </c>
      <c r="U18" s="42">
        <v>13.48776912689209</v>
      </c>
      <c r="V18" s="42">
        <v>113.6455154418945</v>
      </c>
      <c r="W18" s="42">
        <v>25.767654418945309</v>
      </c>
      <c r="X18" s="42">
        <v>18.479999542236332</v>
      </c>
      <c r="Y18" s="42">
        <v>42.2225341796875</v>
      </c>
      <c r="Z18" s="42">
        <v>30.290115356445309</v>
      </c>
      <c r="AA18" s="42">
        <v>21.141347885131839</v>
      </c>
      <c r="AB18" s="42">
        <v>61.652439117431641</v>
      </c>
      <c r="AC18" s="42">
        <v>51.654857635498047</v>
      </c>
      <c r="AD18" s="42">
        <v>28.688117980957031</v>
      </c>
      <c r="AE18" s="42">
        <v>18.399129867553711</v>
      </c>
      <c r="AF18" s="42">
        <v>19.765876770019531</v>
      </c>
      <c r="AG18" s="42">
        <v>11.038552284240721</v>
      </c>
      <c r="AH18" s="42">
        <v>9.1245174407958984</v>
      </c>
      <c r="AI18" s="42">
        <v>38.137981414794922</v>
      </c>
      <c r="AJ18" s="42">
        <v>0.45785871148109442</v>
      </c>
      <c r="AK18" s="42">
        <v>38.638862609863281</v>
      </c>
      <c r="AL18" s="42">
        <v>13.382097244262701</v>
      </c>
      <c r="AM18" s="42">
        <v>41.779891967773438</v>
      </c>
      <c r="AN18" s="42">
        <v>72.92620849609375</v>
      </c>
      <c r="AO18" s="42">
        <v>8.7299995422363281</v>
      </c>
      <c r="AP18" s="42">
        <v>22.89859580993652</v>
      </c>
      <c r="AQ18" s="42">
        <v>6.4042057991027832</v>
      </c>
      <c r="AR18" s="42">
        <v>38.397506713867188</v>
      </c>
      <c r="AS18" s="42">
        <v>50.562854766845703</v>
      </c>
      <c r="AT18" s="42">
        <v>23.42812347412109</v>
      </c>
      <c r="AU18" s="42">
        <v>10.92807006835938</v>
      </c>
      <c r="AV18" s="42">
        <v>23.631647109985352</v>
      </c>
      <c r="AW18" s="42">
        <v>38.463836669921882</v>
      </c>
      <c r="AX18" s="42">
        <v>36.918865203857422</v>
      </c>
      <c r="AY18" s="42">
        <v>13.45049476623535</v>
      </c>
      <c r="AZ18" s="42">
        <v>1363.609985351562</v>
      </c>
    </row>
    <row r="19" spans="1:52" ht="16" x14ac:dyDescent="0.2">
      <c r="A19" s="39">
        <v>40664</v>
      </c>
      <c r="B19" s="40">
        <v>10.40346527099609</v>
      </c>
      <c r="C19" s="40">
        <v>18.268356323242191</v>
      </c>
      <c r="D19" s="40">
        <v>34.630001068115227</v>
      </c>
      <c r="E19" s="40">
        <v>5.6599998474121094</v>
      </c>
      <c r="F19" s="40">
        <v>40.405548095703118</v>
      </c>
      <c r="G19" s="40">
        <v>9.8345003128051758</v>
      </c>
      <c r="H19" s="40">
        <v>73.007156372070312</v>
      </c>
      <c r="I19" s="40">
        <v>8.2944526672363281</v>
      </c>
      <c r="J19" s="40">
        <v>59.396030426025391</v>
      </c>
      <c r="K19" s="40">
        <v>10.809310913085939</v>
      </c>
      <c r="L19" s="40">
        <v>56.653800964355469</v>
      </c>
      <c r="M19" s="40">
        <v>35.541843414306641</v>
      </c>
      <c r="N19" s="40">
        <v>46.272918701171882</v>
      </c>
      <c r="O19" s="40">
        <v>36.218448638916023</v>
      </c>
      <c r="P19" s="40">
        <v>38.140228271484382</v>
      </c>
      <c r="Q19" s="40">
        <v>11.63000011444092</v>
      </c>
      <c r="R19" s="40">
        <v>113.5800018310547</v>
      </c>
      <c r="S19" s="40">
        <v>52.386638641357422</v>
      </c>
      <c r="T19" s="40">
        <v>70.353279113769531</v>
      </c>
      <c r="U19" s="40">
        <v>13.11395168304443</v>
      </c>
      <c r="V19" s="40">
        <v>106.1818313598633</v>
      </c>
      <c r="W19" s="40">
        <v>25.164216995239261</v>
      </c>
      <c r="X19" s="40">
        <v>17.729999542236332</v>
      </c>
      <c r="Y19" s="40">
        <v>43.606159210205078</v>
      </c>
      <c r="Z19" s="40">
        <v>28.703592300415039</v>
      </c>
      <c r="AA19" s="40">
        <v>20.937648773193359</v>
      </c>
      <c r="AB19" s="40">
        <v>56.479087829589837</v>
      </c>
      <c r="AC19" s="40">
        <v>54.186424255371087</v>
      </c>
      <c r="AD19" s="40">
        <v>27.966634750366211</v>
      </c>
      <c r="AE19" s="40">
        <v>16.998968124389648</v>
      </c>
      <c r="AF19" s="40">
        <v>19.196952819824219</v>
      </c>
      <c r="AG19" s="40">
        <v>9.9463987350463867</v>
      </c>
      <c r="AH19" s="40">
        <v>9.34710693359375</v>
      </c>
      <c r="AI19" s="40">
        <v>40.084766387939453</v>
      </c>
      <c r="AJ19" s="40">
        <v>0.45877447724342352</v>
      </c>
      <c r="AK19" s="40">
        <v>36.022274017333977</v>
      </c>
      <c r="AL19" s="40">
        <v>13.602131843566889</v>
      </c>
      <c r="AM19" s="40">
        <v>43.131790161132812</v>
      </c>
      <c r="AN19" s="40">
        <v>68.983352661132812</v>
      </c>
      <c r="AO19" s="40">
        <v>10.039999961853029</v>
      </c>
      <c r="AP19" s="40">
        <v>23.454120635986332</v>
      </c>
      <c r="AQ19" s="40">
        <v>6.0868911743164062</v>
      </c>
      <c r="AR19" s="40">
        <v>39.557399749755859</v>
      </c>
      <c r="AS19" s="40">
        <v>59.458900451660163</v>
      </c>
      <c r="AT19" s="40">
        <v>25.115310668945309</v>
      </c>
      <c r="AU19" s="40">
        <v>10.84454822540283</v>
      </c>
      <c r="AV19" s="40">
        <v>23.47867584228516</v>
      </c>
      <c r="AW19" s="40">
        <v>38.245071411132812</v>
      </c>
      <c r="AX19" s="40">
        <v>37.628314971923828</v>
      </c>
      <c r="AY19" s="40">
        <v>13.59859466552734</v>
      </c>
      <c r="AZ19" s="40">
        <v>1345.199951171875</v>
      </c>
    </row>
    <row r="20" spans="1:52" ht="16" x14ac:dyDescent="0.2">
      <c r="A20" s="41">
        <v>40695</v>
      </c>
      <c r="B20" s="42">
        <v>10.03976535797119</v>
      </c>
      <c r="C20" s="42">
        <v>18.397720336914059</v>
      </c>
      <c r="D20" s="42">
        <v>31.45000076293945</v>
      </c>
      <c r="E20" s="42">
        <v>5.429999828338623</v>
      </c>
      <c r="F20" s="42">
        <v>38.943897247314453</v>
      </c>
      <c r="G20" s="42">
        <v>10.22449970245361</v>
      </c>
      <c r="H20" s="42">
        <v>73.462608337402344</v>
      </c>
      <c r="I20" s="42">
        <v>8.3273124694824219</v>
      </c>
      <c r="J20" s="42">
        <v>58.503055572509773</v>
      </c>
      <c r="K20" s="42">
        <v>10.043649673461911</v>
      </c>
      <c r="L20" s="42">
        <v>55.53594970703125</v>
      </c>
      <c r="M20" s="42">
        <v>33.330615997314453</v>
      </c>
      <c r="N20" s="42">
        <v>47.690822601318359</v>
      </c>
      <c r="O20" s="42">
        <v>37.347171783447273</v>
      </c>
      <c r="P20" s="42">
        <v>36.536186218261719</v>
      </c>
      <c r="Q20" s="42">
        <v>8.9600000381469727</v>
      </c>
      <c r="R20" s="42">
        <v>110.25</v>
      </c>
      <c r="S20" s="42">
        <v>52.935775756835938</v>
      </c>
      <c r="T20" s="42">
        <v>68.114814758300781</v>
      </c>
      <c r="U20" s="42">
        <v>12.5527229309082</v>
      </c>
      <c r="V20" s="42">
        <v>100.4173965454102</v>
      </c>
      <c r="W20" s="42">
        <v>25.311435699462891</v>
      </c>
      <c r="X20" s="42">
        <v>18.940000534057621</v>
      </c>
      <c r="Y20" s="42">
        <v>43.107170104980469</v>
      </c>
      <c r="Z20" s="42">
        <v>27.176803588867191</v>
      </c>
      <c r="AA20" s="42">
        <v>21.240741729736332</v>
      </c>
      <c r="AB20" s="42">
        <v>57.927276611328118</v>
      </c>
      <c r="AC20" s="42">
        <v>56.033843994140618</v>
      </c>
      <c r="AD20" s="42">
        <v>26.475551605224609</v>
      </c>
      <c r="AE20" s="42">
        <v>16.189823150634769</v>
      </c>
      <c r="AF20" s="42">
        <v>19.95683670043945</v>
      </c>
      <c r="AG20" s="42">
        <v>7.2940254211425781</v>
      </c>
      <c r="AH20" s="42">
        <v>9.3568744659423828</v>
      </c>
      <c r="AI20" s="42">
        <v>38.628337860107422</v>
      </c>
      <c r="AJ20" s="42">
        <v>0.36491337418556208</v>
      </c>
      <c r="AK20" s="42">
        <v>35.874187469482422</v>
      </c>
      <c r="AL20" s="42">
        <v>14.160844802856451</v>
      </c>
      <c r="AM20" s="42">
        <v>40.923713684082031</v>
      </c>
      <c r="AN20" s="42">
        <v>69.674362182617188</v>
      </c>
      <c r="AO20" s="42">
        <v>8.4700002670288086</v>
      </c>
      <c r="AP20" s="42">
        <v>22.724945068359379</v>
      </c>
      <c r="AQ20" s="42">
        <v>6.1239495277404794</v>
      </c>
      <c r="AR20" s="42">
        <v>38.342109680175781</v>
      </c>
      <c r="AS20" s="42">
        <v>56.179847717285163</v>
      </c>
      <c r="AT20" s="42">
        <v>23.980209350585941</v>
      </c>
      <c r="AU20" s="42">
        <v>10.74432468414307</v>
      </c>
      <c r="AV20" s="42">
        <v>21.83583831787109</v>
      </c>
      <c r="AW20" s="42">
        <v>40.433376312255859</v>
      </c>
      <c r="AX20" s="42">
        <v>37.423992156982422</v>
      </c>
      <c r="AY20" s="42">
        <v>13.086368560791019</v>
      </c>
      <c r="AZ20" s="42">
        <v>1320.640014648438</v>
      </c>
    </row>
    <row r="21" spans="1:52" ht="16" x14ac:dyDescent="0.2">
      <c r="A21" s="39">
        <v>40725</v>
      </c>
      <c r="B21" s="40">
        <v>11.679110527038571</v>
      </c>
      <c r="C21" s="40">
        <v>18.106290817260739</v>
      </c>
      <c r="D21" s="40">
        <v>27.70999908447266</v>
      </c>
      <c r="E21" s="40">
        <v>5.8299999237060547</v>
      </c>
      <c r="F21" s="40">
        <v>36.507816314697273</v>
      </c>
      <c r="G21" s="40">
        <v>11.12600040435791</v>
      </c>
      <c r="H21" s="40">
        <v>68.457855224609375</v>
      </c>
      <c r="I21" s="40">
        <v>7.928886890411377</v>
      </c>
      <c r="J21" s="40">
        <v>56.349895477294922</v>
      </c>
      <c r="K21" s="40">
        <v>10.314297676086429</v>
      </c>
      <c r="L21" s="40">
        <v>56.173191070556641</v>
      </c>
      <c r="M21" s="40">
        <v>32.972038269042969</v>
      </c>
      <c r="N21" s="40">
        <v>42.294097900390618</v>
      </c>
      <c r="O21" s="40">
        <v>32.593307495117188</v>
      </c>
      <c r="P21" s="40">
        <v>35.70281982421875</v>
      </c>
      <c r="Q21" s="40">
        <v>7.6999998092651367</v>
      </c>
      <c r="R21" s="40">
        <v>93.480003356933594</v>
      </c>
      <c r="S21" s="40">
        <v>48.403701782226562</v>
      </c>
      <c r="T21" s="40">
        <v>64.683807373046875</v>
      </c>
      <c r="U21" s="40">
        <v>14.964956283569339</v>
      </c>
      <c r="V21" s="40">
        <v>101.8358840942383</v>
      </c>
      <c r="W21" s="40">
        <v>24.40995025634766</v>
      </c>
      <c r="X21" s="40">
        <v>17.440000534057621</v>
      </c>
      <c r="Y21" s="40">
        <v>41.986083984375</v>
      </c>
      <c r="Z21" s="40">
        <v>27.016510009765621</v>
      </c>
      <c r="AA21" s="40">
        <v>21.468021392822269</v>
      </c>
      <c r="AB21" s="40">
        <v>53.296463012695312</v>
      </c>
      <c r="AC21" s="40">
        <v>57.469242095947273</v>
      </c>
      <c r="AD21" s="40">
        <v>24.931022644042969</v>
      </c>
      <c r="AE21" s="40">
        <v>15.68844509124756</v>
      </c>
      <c r="AF21" s="40">
        <v>21.031438827514648</v>
      </c>
      <c r="AG21" s="40">
        <v>7.1867613792419434</v>
      </c>
      <c r="AH21" s="40">
        <v>8.9970006942749023</v>
      </c>
      <c r="AI21" s="40">
        <v>34.778671264648438</v>
      </c>
      <c r="AJ21" s="40">
        <v>0.31660938262939448</v>
      </c>
      <c r="AK21" s="40">
        <v>38.26580810546875</v>
      </c>
      <c r="AL21" s="40">
        <v>14.03384208679199</v>
      </c>
      <c r="AM21" s="40">
        <v>39.908969879150391</v>
      </c>
      <c r="AN21" s="40">
        <v>61.351295471191413</v>
      </c>
      <c r="AO21" s="40">
        <v>7.4800000190734863</v>
      </c>
      <c r="AP21" s="40">
        <v>22.591793060302731</v>
      </c>
      <c r="AQ21" s="40">
        <v>6.1447958946228027</v>
      </c>
      <c r="AR21" s="40">
        <v>36.985038757324219</v>
      </c>
      <c r="AS21" s="40">
        <v>52.563972473144531</v>
      </c>
      <c r="AT21" s="40">
        <v>22.06453704833984</v>
      </c>
      <c r="AU21" s="40">
        <v>11.310892105102541</v>
      </c>
      <c r="AV21" s="40">
        <v>19.87227821350098</v>
      </c>
      <c r="AW21" s="40">
        <v>38.904777526855469</v>
      </c>
      <c r="AX21" s="40">
        <v>36.735733032226562</v>
      </c>
      <c r="AY21" s="40">
        <v>12.9804744720459</v>
      </c>
      <c r="AZ21" s="40">
        <v>1292.280029296875</v>
      </c>
    </row>
    <row r="22" spans="1:52" ht="16" x14ac:dyDescent="0.2">
      <c r="A22" s="41">
        <v>40756</v>
      </c>
      <c r="B22" s="42">
        <v>11.5101203918457</v>
      </c>
      <c r="C22" s="42">
        <v>18.526128768920898</v>
      </c>
      <c r="D22" s="42">
        <v>25.239999771118161</v>
      </c>
      <c r="E22" s="42">
        <v>5.0100002288818359</v>
      </c>
      <c r="F22" s="42">
        <v>37.1767578125</v>
      </c>
      <c r="G22" s="42">
        <v>10.761500358581539</v>
      </c>
      <c r="H22" s="42">
        <v>63.059673309326172</v>
      </c>
      <c r="I22" s="42">
        <v>7.1003470420837402</v>
      </c>
      <c r="J22" s="42">
        <v>56.738304138183587</v>
      </c>
      <c r="K22" s="42">
        <v>10.12054443359375</v>
      </c>
      <c r="L22" s="42">
        <v>53.803485870361328</v>
      </c>
      <c r="M22" s="42">
        <v>29.07891845703125</v>
      </c>
      <c r="N22" s="42">
        <v>45.339263916015618</v>
      </c>
      <c r="O22" s="42">
        <v>31.14710807800293</v>
      </c>
      <c r="P22" s="42">
        <v>32.409061431884773</v>
      </c>
      <c r="Q22" s="42">
        <v>7.4800000190734863</v>
      </c>
      <c r="R22" s="42">
        <v>81.569999694824219</v>
      </c>
      <c r="S22" s="42">
        <v>45.519664764404297</v>
      </c>
      <c r="T22" s="42">
        <v>58.905227661132812</v>
      </c>
      <c r="U22" s="42">
        <v>13.409932136535639</v>
      </c>
      <c r="V22" s="42">
        <v>87.954086303710938</v>
      </c>
      <c r="W22" s="42">
        <v>23.499612808227539</v>
      </c>
      <c r="X22" s="42">
        <v>16.069999694824219</v>
      </c>
      <c r="Y22" s="42">
        <v>43.020488739013672</v>
      </c>
      <c r="Z22" s="42">
        <v>25.086282730102539</v>
      </c>
      <c r="AA22" s="42">
        <v>22.23823165893555</v>
      </c>
      <c r="AB22" s="42">
        <v>52.452064514160163</v>
      </c>
      <c r="AC22" s="42">
        <v>60.487274169921882</v>
      </c>
      <c r="AD22" s="42">
        <v>24.253290176391602</v>
      </c>
      <c r="AE22" s="42">
        <v>12.33922100067139</v>
      </c>
      <c r="AF22" s="42">
        <v>20.54625129699707</v>
      </c>
      <c r="AG22" s="42">
        <v>5.7630600929260254</v>
      </c>
      <c r="AH22" s="42">
        <v>9.3294677734375</v>
      </c>
      <c r="AI22" s="42">
        <v>27.53311729431152</v>
      </c>
      <c r="AJ22" s="42">
        <v>0.30470505356788641</v>
      </c>
      <c r="AK22" s="42">
        <v>37.949142456054688</v>
      </c>
      <c r="AL22" s="42">
        <v>13.669453620910639</v>
      </c>
      <c r="AM22" s="42">
        <v>41.330356597900391</v>
      </c>
      <c r="AN22" s="42">
        <v>57.323810577392578</v>
      </c>
      <c r="AO22" s="42">
        <v>6.4600000381469727</v>
      </c>
      <c r="AP22" s="42">
        <v>17.265630722045898</v>
      </c>
      <c r="AQ22" s="42">
        <v>5.8274803161621094</v>
      </c>
      <c r="AR22" s="42">
        <v>34.899662017822273</v>
      </c>
      <c r="AS22" s="42">
        <v>58.478157043457031</v>
      </c>
      <c r="AT22" s="42">
        <v>21.76187705993652</v>
      </c>
      <c r="AU22" s="42">
        <v>11.21377372741699</v>
      </c>
      <c r="AV22" s="42">
        <v>17.50764274597168</v>
      </c>
      <c r="AW22" s="42">
        <v>37.250736236572273</v>
      </c>
      <c r="AX22" s="42">
        <v>33.216114044189453</v>
      </c>
      <c r="AY22" s="42">
        <v>13.193437576293951</v>
      </c>
      <c r="AZ22" s="42">
        <v>1218.890014648438</v>
      </c>
    </row>
    <row r="23" spans="1:52" ht="16" x14ac:dyDescent="0.2">
      <c r="A23" s="39">
        <v>40787</v>
      </c>
      <c r="B23" s="40">
        <v>11.405136108398439</v>
      </c>
      <c r="C23" s="40">
        <v>18.042776107788089</v>
      </c>
      <c r="D23" s="40">
        <v>24.170000076293949</v>
      </c>
      <c r="E23" s="40">
        <v>4.0500001907348633</v>
      </c>
      <c r="F23" s="40">
        <v>36.881477355957031</v>
      </c>
      <c r="G23" s="40">
        <v>10.81149959564209</v>
      </c>
      <c r="H23" s="40">
        <v>51.168418884277337</v>
      </c>
      <c r="I23" s="40">
        <v>6.9055943489074707</v>
      </c>
      <c r="J23" s="40">
        <v>59.331768035888672</v>
      </c>
      <c r="K23" s="40">
        <v>10.01074695587158</v>
      </c>
      <c r="L23" s="40">
        <v>50.401287078857422</v>
      </c>
      <c r="M23" s="40">
        <v>25.749267578125</v>
      </c>
      <c r="N23" s="40">
        <v>41.495986938476562</v>
      </c>
      <c r="O23" s="40">
        <v>27.64096832275391</v>
      </c>
      <c r="P23" s="40">
        <v>24.855472564697269</v>
      </c>
      <c r="Q23" s="40">
        <v>5.4600000381469727</v>
      </c>
      <c r="R23" s="40">
        <v>71.050003051757812</v>
      </c>
      <c r="S23" s="40">
        <v>40.412197113037109</v>
      </c>
      <c r="T23" s="40">
        <v>55.495765686035163</v>
      </c>
      <c r="U23" s="40">
        <v>12.767398834228519</v>
      </c>
      <c r="V23" s="40">
        <v>71.554435729980469</v>
      </c>
      <c r="W23" s="40">
        <v>23.14056396484375</v>
      </c>
      <c r="X23" s="40">
        <v>13.97000026702881</v>
      </c>
      <c r="Y23" s="40">
        <v>41.640949249267578</v>
      </c>
      <c r="Z23" s="40">
        <v>20.11711502075195</v>
      </c>
      <c r="AA23" s="40">
        <v>21.471426010131839</v>
      </c>
      <c r="AB23" s="40">
        <v>45.368507385253913</v>
      </c>
      <c r="AC23" s="40">
        <v>58.754493713378913</v>
      </c>
      <c r="AD23" s="40">
        <v>22.98772048950195</v>
      </c>
      <c r="AE23" s="40">
        <v>9.525883674621582</v>
      </c>
      <c r="AF23" s="40">
        <v>19.225418090820309</v>
      </c>
      <c r="AG23" s="40">
        <v>4.9146909713745117</v>
      </c>
      <c r="AH23" s="40">
        <v>8.8853664398193359</v>
      </c>
      <c r="AI23" s="40">
        <v>24.832504272460941</v>
      </c>
      <c r="AJ23" s="40">
        <v>0.2863905131816864</v>
      </c>
      <c r="AK23" s="40">
        <v>31.415376663208011</v>
      </c>
      <c r="AL23" s="40">
        <v>12.732447624206539</v>
      </c>
      <c r="AM23" s="40">
        <v>41.005828857421882</v>
      </c>
      <c r="AN23" s="40">
        <v>49.283027648925781</v>
      </c>
      <c r="AO23" s="40">
        <v>4.9800000190734863</v>
      </c>
      <c r="AP23" s="40">
        <v>15.539937973022459</v>
      </c>
      <c r="AQ23" s="40">
        <v>5.7139873504638672</v>
      </c>
      <c r="AR23" s="40">
        <v>32.980392456054688</v>
      </c>
      <c r="AS23" s="40">
        <v>57.655914306640618</v>
      </c>
      <c r="AT23" s="40">
        <v>21.353876113891602</v>
      </c>
      <c r="AU23" s="40">
        <v>11.38828277587891</v>
      </c>
      <c r="AV23" s="40">
        <v>17.801553726196289</v>
      </c>
      <c r="AW23" s="40">
        <v>36.278636932373047</v>
      </c>
      <c r="AX23" s="40">
        <v>29.432136535644531</v>
      </c>
      <c r="AY23" s="40">
        <v>12.873465538024901</v>
      </c>
      <c r="AZ23" s="40">
        <v>1131.420043945312</v>
      </c>
    </row>
    <row r="24" spans="1:52" ht="16" x14ac:dyDescent="0.2">
      <c r="A24" s="41">
        <v>40817</v>
      </c>
      <c r="B24" s="42">
        <v>12.1068229675293</v>
      </c>
      <c r="C24" s="42">
        <v>19.1806526184082</v>
      </c>
      <c r="D24" s="42">
        <v>29.409999847412109</v>
      </c>
      <c r="E24" s="42">
        <v>3.8499999046325679</v>
      </c>
      <c r="F24" s="42">
        <v>38.431632995605469</v>
      </c>
      <c r="G24" s="42">
        <v>10.67549991607666</v>
      </c>
      <c r="H24" s="42">
        <v>65.819686889648438</v>
      </c>
      <c r="I24" s="42">
        <v>7.7827677726745614</v>
      </c>
      <c r="J24" s="42">
        <v>60.140865325927727</v>
      </c>
      <c r="K24" s="42">
        <v>12.01514720916748</v>
      </c>
      <c r="L24" s="42">
        <v>57.183883666992188</v>
      </c>
      <c r="M24" s="42">
        <v>29.778999328613281</v>
      </c>
      <c r="N24" s="42">
        <v>45.697349548339837</v>
      </c>
      <c r="O24" s="42">
        <v>32.197597503662109</v>
      </c>
      <c r="P24" s="42">
        <v>31.36497688293457</v>
      </c>
      <c r="Q24" s="42">
        <v>7.7300000190734863</v>
      </c>
      <c r="R24" s="42">
        <v>103.9499969482422</v>
      </c>
      <c r="S24" s="42">
        <v>45.976169586181641</v>
      </c>
      <c r="T24" s="42">
        <v>60.928661346435547</v>
      </c>
      <c r="U24" s="42">
        <v>14.69103527069092</v>
      </c>
      <c r="V24" s="42">
        <v>82.906280517578125</v>
      </c>
      <c r="W24" s="42">
        <v>25.203292846679691</v>
      </c>
      <c r="X24" s="42">
        <v>13.77000045776367</v>
      </c>
      <c r="Y24" s="42">
        <v>42.098598480224609</v>
      </c>
      <c r="Z24" s="42">
        <v>23.420530319213871</v>
      </c>
      <c r="AA24" s="42">
        <v>21.712966918945309</v>
      </c>
      <c r="AB24" s="42">
        <v>48.994598388671882</v>
      </c>
      <c r="AC24" s="42">
        <v>62.119720458984382</v>
      </c>
      <c r="AD24" s="42">
        <v>24.208099365234379</v>
      </c>
      <c r="AE24" s="42">
        <v>12.475424766540529</v>
      </c>
      <c r="AF24" s="42">
        <v>20.569427490234379</v>
      </c>
      <c r="AG24" s="42">
        <v>5.4510164260864258</v>
      </c>
      <c r="AH24" s="42">
        <v>9.2768325805664062</v>
      </c>
      <c r="AI24" s="42">
        <v>29.977579116821289</v>
      </c>
      <c r="AJ24" s="42">
        <v>0.33881551027297968</v>
      </c>
      <c r="AK24" s="42">
        <v>37.184646606445312</v>
      </c>
      <c r="AL24" s="42">
        <v>14.662361145019529</v>
      </c>
      <c r="AM24" s="42">
        <v>41.870151519775391</v>
      </c>
      <c r="AN24" s="42">
        <v>63.662784576416023</v>
      </c>
      <c r="AO24" s="42">
        <v>6.2699999809265137</v>
      </c>
      <c r="AP24" s="42">
        <v>19.070871353149411</v>
      </c>
      <c r="AQ24" s="42">
        <v>6.2907137870788574</v>
      </c>
      <c r="AR24" s="42">
        <v>34.994606018066413</v>
      </c>
      <c r="AS24" s="42">
        <v>54.783027648925781</v>
      </c>
      <c r="AT24" s="42">
        <v>23.764507293701168</v>
      </c>
      <c r="AU24" s="42">
        <v>12.098640441894529</v>
      </c>
      <c r="AV24" s="42">
        <v>20.640077590942379</v>
      </c>
      <c r="AW24" s="42">
        <v>37.749610900878913</v>
      </c>
      <c r="AX24" s="42">
        <v>35.882915496826172</v>
      </c>
      <c r="AY24" s="42">
        <v>14.069032669067379</v>
      </c>
      <c r="AZ24" s="42">
        <v>1253.300048828125</v>
      </c>
    </row>
    <row r="25" spans="1:52" ht="16" x14ac:dyDescent="0.2">
      <c r="A25" s="39">
        <v>40848</v>
      </c>
      <c r="B25" s="40">
        <v>11.43145847320557</v>
      </c>
      <c r="C25" s="40">
        <v>19.422773361206051</v>
      </c>
      <c r="D25" s="40">
        <v>27.420000076293949</v>
      </c>
      <c r="E25" s="40">
        <v>3.7999999523162842</v>
      </c>
      <c r="F25" s="40">
        <v>39.051822662353523</v>
      </c>
      <c r="G25" s="40">
        <v>9.6145000457763672</v>
      </c>
      <c r="H25" s="40">
        <v>68.202720642089844</v>
      </c>
      <c r="I25" s="40">
        <v>7.5238986015319824</v>
      </c>
      <c r="J25" s="40">
        <v>61.798038482666023</v>
      </c>
      <c r="K25" s="40">
        <v>12.08646869659424</v>
      </c>
      <c r="L25" s="40">
        <v>56.412448883056641</v>
      </c>
      <c r="M25" s="40">
        <v>30.607131958007809</v>
      </c>
      <c r="N25" s="40">
        <v>48.396427154541023</v>
      </c>
      <c r="O25" s="40">
        <v>35.238006591796882</v>
      </c>
      <c r="P25" s="40">
        <v>36.383792877197273</v>
      </c>
      <c r="Q25" s="40">
        <v>4.6100001335144043</v>
      </c>
      <c r="R25" s="40">
        <v>113.0299987792969</v>
      </c>
      <c r="S25" s="40">
        <v>47.315567016601562</v>
      </c>
      <c r="T25" s="40">
        <v>58.011692047119141</v>
      </c>
      <c r="U25" s="40">
        <v>14.858363151550289</v>
      </c>
      <c r="V25" s="40">
        <v>72.826644897460938</v>
      </c>
      <c r="W25" s="40">
        <v>27.827339172363281</v>
      </c>
      <c r="X25" s="40">
        <v>13.77000045776367</v>
      </c>
      <c r="Y25" s="40">
        <v>42.707054138183587</v>
      </c>
      <c r="Z25" s="40">
        <v>20.866912841796879</v>
      </c>
      <c r="AA25" s="40">
        <v>21.52176475524902</v>
      </c>
      <c r="AB25" s="40">
        <v>47.707439422607422</v>
      </c>
      <c r="AC25" s="40">
        <v>64.386749267578125</v>
      </c>
      <c r="AD25" s="40">
        <v>25.38575553894043</v>
      </c>
      <c r="AE25" s="40">
        <v>10.459831237792971</v>
      </c>
      <c r="AF25" s="40">
        <v>19.907175064086911</v>
      </c>
      <c r="AG25" s="40">
        <v>5.841071605682373</v>
      </c>
      <c r="AH25" s="40">
        <v>9.2115516662597656</v>
      </c>
      <c r="AI25" s="40">
        <v>26.95493316650391</v>
      </c>
      <c r="AJ25" s="40">
        <v>0.35781657695770258</v>
      </c>
      <c r="AK25" s="40">
        <v>42.424270629882812</v>
      </c>
      <c r="AL25" s="40">
        <v>16.152740478515621</v>
      </c>
      <c r="AM25" s="40">
        <v>42.249656677246087</v>
      </c>
      <c r="AN25" s="40">
        <v>64.912490844726562</v>
      </c>
      <c r="AO25" s="40">
        <v>5.7899999618530273</v>
      </c>
      <c r="AP25" s="40">
        <v>17.827671051025391</v>
      </c>
      <c r="AQ25" s="40">
        <v>6.431999683380127</v>
      </c>
      <c r="AR25" s="40">
        <v>37.308917999267578</v>
      </c>
      <c r="AS25" s="40">
        <v>58.864513397216797</v>
      </c>
      <c r="AT25" s="40">
        <v>25.054595947265621</v>
      </c>
      <c r="AU25" s="40">
        <v>12.707186698913571</v>
      </c>
      <c r="AV25" s="40">
        <v>20.216928482055661</v>
      </c>
      <c r="AW25" s="40">
        <v>38.363162994384773</v>
      </c>
      <c r="AX25" s="40">
        <v>37.50323486328125</v>
      </c>
      <c r="AY25" s="40">
        <v>14.609763145446779</v>
      </c>
      <c r="AZ25" s="40">
        <v>1246.9599609375</v>
      </c>
    </row>
    <row r="26" spans="1:52" ht="16" x14ac:dyDescent="0.2">
      <c r="A26" s="41">
        <v>40878</v>
      </c>
      <c r="B26" s="42">
        <v>12.113399505615231</v>
      </c>
      <c r="C26" s="42">
        <v>20.02094650268555</v>
      </c>
      <c r="D26" s="42">
        <v>28.270000457763668</v>
      </c>
      <c r="E26" s="42">
        <v>3.5699999332427979</v>
      </c>
      <c r="F26" s="42">
        <v>43.300266265869141</v>
      </c>
      <c r="G26" s="42">
        <v>8.6549997329711914</v>
      </c>
      <c r="H26" s="42">
        <v>63.130050659179688</v>
      </c>
      <c r="I26" s="42">
        <v>7.9065537452697754</v>
      </c>
      <c r="J26" s="42">
        <v>60.363544464111328</v>
      </c>
      <c r="K26" s="42">
        <v>11.72335910797119</v>
      </c>
      <c r="L26" s="42">
        <v>58.376644134521477</v>
      </c>
      <c r="M26" s="42">
        <v>32.553466796875</v>
      </c>
      <c r="N26" s="42">
        <v>49.248180389404297</v>
      </c>
      <c r="O26" s="42">
        <v>31.420827865600589</v>
      </c>
      <c r="P26" s="42">
        <v>34.549518585205078</v>
      </c>
      <c r="Q26" s="42">
        <v>4.7399997711181641</v>
      </c>
      <c r="R26" s="42">
        <v>106.120002746582</v>
      </c>
      <c r="S26" s="42">
        <v>47.566242218017578</v>
      </c>
      <c r="T26" s="42">
        <v>65.937828063964844</v>
      </c>
      <c r="U26" s="42">
        <v>16.01130485534668</v>
      </c>
      <c r="V26" s="42">
        <v>68.70135498046875</v>
      </c>
      <c r="W26" s="42">
        <v>29.82818603515625</v>
      </c>
      <c r="X26" s="42">
        <v>15.010000228881839</v>
      </c>
      <c r="Y26" s="42">
        <v>43.274543762207031</v>
      </c>
      <c r="Z26" s="42">
        <v>22.403127670288089</v>
      </c>
      <c r="AA26" s="42">
        <v>22.398897171020511</v>
      </c>
      <c r="AB26" s="42">
        <v>46.356178283691413</v>
      </c>
      <c r="AC26" s="42">
        <v>67.628997802734375</v>
      </c>
      <c r="AD26" s="42">
        <v>26.653984069824219</v>
      </c>
      <c r="AE26" s="42">
        <v>10.700291633605961</v>
      </c>
      <c r="AF26" s="42">
        <v>20.202896118164059</v>
      </c>
      <c r="AG26" s="42">
        <v>6.133613109588623</v>
      </c>
      <c r="AH26" s="42">
        <v>10.115427017211911</v>
      </c>
      <c r="AI26" s="42">
        <v>26.545099258422852</v>
      </c>
      <c r="AJ26" s="42">
        <v>0.31729611754417419</v>
      </c>
      <c r="AK26" s="42">
        <v>41.148693084716797</v>
      </c>
      <c r="AL26" s="42">
        <v>16.838396072387699</v>
      </c>
      <c r="AM26" s="42">
        <v>43.649898529052727</v>
      </c>
      <c r="AN26" s="42">
        <v>59.791954040527337</v>
      </c>
      <c r="AO26" s="42">
        <v>6.0799999237060547</v>
      </c>
      <c r="AP26" s="42">
        <v>18.513313293457031</v>
      </c>
      <c r="AQ26" s="42">
        <v>6.5501246452331543</v>
      </c>
      <c r="AR26" s="42">
        <v>37.240829467773438</v>
      </c>
      <c r="AS26" s="42">
        <v>54.911808013916023</v>
      </c>
      <c r="AT26" s="42">
        <v>25.75865364074707</v>
      </c>
      <c r="AU26" s="42">
        <v>13.29415130615234</v>
      </c>
      <c r="AV26" s="42">
        <v>19.551992416381839</v>
      </c>
      <c r="AW26" s="42">
        <v>40.000785827636719</v>
      </c>
      <c r="AX26" s="42">
        <v>38.4207763671875</v>
      </c>
      <c r="AY26" s="42">
        <v>14.91570377349854</v>
      </c>
      <c r="AZ26" s="42">
        <v>1257.599975585938</v>
      </c>
    </row>
    <row r="27" spans="1:52" ht="16" x14ac:dyDescent="0.2">
      <c r="A27" s="39">
        <v>40909</v>
      </c>
      <c r="B27" s="40">
        <v>13.653151512146</v>
      </c>
      <c r="C27" s="40">
        <v>19.446710586547852</v>
      </c>
      <c r="D27" s="40">
        <v>30.95000076293945</v>
      </c>
      <c r="E27" s="40">
        <v>3.6500000953674321</v>
      </c>
      <c r="F27" s="40">
        <v>45.808845520019531</v>
      </c>
      <c r="G27" s="40">
        <v>9.7220001220703125</v>
      </c>
      <c r="H27" s="40">
        <v>76.374641418457031</v>
      </c>
      <c r="I27" s="40">
        <v>8.8636102676391602</v>
      </c>
      <c r="J27" s="40">
        <v>59.602859497070312</v>
      </c>
      <c r="K27" s="40">
        <v>12.783798217773439</v>
      </c>
      <c r="L27" s="40">
        <v>56.577075958251953</v>
      </c>
      <c r="M27" s="40">
        <v>33.768783569335938</v>
      </c>
      <c r="N27" s="40">
        <v>51.488643646240227</v>
      </c>
      <c r="O27" s="40">
        <v>34.651264190673828</v>
      </c>
      <c r="P27" s="40">
        <v>37.283332824707031</v>
      </c>
      <c r="Q27" s="40">
        <v>5.320000171661377</v>
      </c>
      <c r="R27" s="40">
        <v>119.7399978637695</v>
      </c>
      <c r="S27" s="40">
        <v>49.863956451416023</v>
      </c>
      <c r="T27" s="40">
        <v>68.883110046386719</v>
      </c>
      <c r="U27" s="40">
        <v>14.380428314208981</v>
      </c>
      <c r="V27" s="40">
        <v>84.685821533203125</v>
      </c>
      <c r="W27" s="40">
        <v>31.495546340942379</v>
      </c>
      <c r="X27" s="40">
        <v>17.70000076293945</v>
      </c>
      <c r="Y27" s="40">
        <v>43.492301940917969</v>
      </c>
      <c r="Z27" s="40">
        <v>25.312835693359379</v>
      </c>
      <c r="AA27" s="40">
        <v>21.6177978515625</v>
      </c>
      <c r="AB27" s="40">
        <v>51.626033782958977</v>
      </c>
      <c r="AC27" s="40">
        <v>66.76617431640625</v>
      </c>
      <c r="AD27" s="40">
        <v>27.046842575073239</v>
      </c>
      <c r="AE27" s="40">
        <v>13.22605514526367</v>
      </c>
      <c r="AF27" s="40">
        <v>22.98118782043457</v>
      </c>
      <c r="AG27" s="40">
        <v>7.4110426902770996</v>
      </c>
      <c r="AH27" s="40">
        <v>9.9442844390869141</v>
      </c>
      <c r="AI27" s="40">
        <v>27.620944976806641</v>
      </c>
      <c r="AJ27" s="40">
        <v>0.33812874555587769</v>
      </c>
      <c r="AK27" s="40">
        <v>43.343036651611328</v>
      </c>
      <c r="AL27" s="40">
        <v>16.265462875366211</v>
      </c>
      <c r="AM27" s="40">
        <v>41.577983856201172</v>
      </c>
      <c r="AN27" s="40">
        <v>63.265769958496087</v>
      </c>
      <c r="AO27" s="40">
        <v>6.8600001335144043</v>
      </c>
      <c r="AP27" s="40">
        <v>20.533649444580082</v>
      </c>
      <c r="AQ27" s="40">
        <v>6.6057124137878418</v>
      </c>
      <c r="AR27" s="40">
        <v>40.045803070068359</v>
      </c>
      <c r="AS27" s="40">
        <v>90.010604858398438</v>
      </c>
      <c r="AT27" s="40">
        <v>28.142057418823239</v>
      </c>
      <c r="AU27" s="40">
        <v>14.033515930175779</v>
      </c>
      <c r="AV27" s="40">
        <v>21.863174438476559</v>
      </c>
      <c r="AW27" s="40">
        <v>40.87689208984375</v>
      </c>
      <c r="AX27" s="40">
        <v>41.456275939941413</v>
      </c>
      <c r="AY27" s="40">
        <v>15.315047264099119</v>
      </c>
      <c r="AZ27" s="40">
        <v>1312.410034179688</v>
      </c>
    </row>
    <row r="28" spans="1:52" ht="16" x14ac:dyDescent="0.2">
      <c r="A28" s="41">
        <v>40940</v>
      </c>
      <c r="B28" s="42">
        <v>16.224185943603519</v>
      </c>
      <c r="C28" s="42">
        <v>20.33016204833984</v>
      </c>
      <c r="D28" s="42">
        <v>32.889999389648438</v>
      </c>
      <c r="E28" s="42">
        <v>3.5999999046325679</v>
      </c>
      <c r="F28" s="42">
        <v>46.109237670898438</v>
      </c>
      <c r="G28" s="42">
        <v>8.9844999313354492</v>
      </c>
      <c r="H28" s="42">
        <v>79.937217712402344</v>
      </c>
      <c r="I28" s="42">
        <v>9.8073282241821289</v>
      </c>
      <c r="J28" s="42">
        <v>62.526119232177727</v>
      </c>
      <c r="K28" s="42">
        <v>12.933426856994631</v>
      </c>
      <c r="L28" s="42">
        <v>60.327854156494141</v>
      </c>
      <c r="M28" s="42">
        <v>36.451202392578118</v>
      </c>
      <c r="N28" s="42">
        <v>51.11383056640625</v>
      </c>
      <c r="O28" s="42">
        <v>34.194610595703118</v>
      </c>
      <c r="P28" s="42">
        <v>39.995105743408203</v>
      </c>
      <c r="Q28" s="42">
        <v>5.679999828338623</v>
      </c>
      <c r="R28" s="42">
        <v>124.9599990844727</v>
      </c>
      <c r="S28" s="42">
        <v>52.798393249511719</v>
      </c>
      <c r="T28" s="42">
        <v>70.755226135253906</v>
      </c>
      <c r="U28" s="42">
        <v>15.325883865356451</v>
      </c>
      <c r="V28" s="42">
        <v>87.738174438476562</v>
      </c>
      <c r="W28" s="42">
        <v>33.751834869384773</v>
      </c>
      <c r="X28" s="42">
        <v>16.95999908447266</v>
      </c>
      <c r="Y28" s="42">
        <v>43.323944091796882</v>
      </c>
      <c r="Z28" s="42">
        <v>26.6293830871582</v>
      </c>
      <c r="AA28" s="42">
        <v>22.363681793212891</v>
      </c>
      <c r="AB28" s="42">
        <v>55.474987030029297</v>
      </c>
      <c r="AC28" s="42">
        <v>67.391288757324219</v>
      </c>
      <c r="AD28" s="42">
        <v>26.73130035400391</v>
      </c>
      <c r="AE28" s="42">
        <v>13.148043632507321</v>
      </c>
      <c r="AF28" s="42">
        <v>24.863700866699219</v>
      </c>
      <c r="AG28" s="42">
        <v>8.3374214172363281</v>
      </c>
      <c r="AH28" s="42">
        <v>9.9868707656860352</v>
      </c>
      <c r="AI28" s="42">
        <v>31.470596313476559</v>
      </c>
      <c r="AJ28" s="42">
        <v>0.34682795405387878</v>
      </c>
      <c r="AK28" s="42">
        <v>48.541484832763672</v>
      </c>
      <c r="AL28" s="42">
        <v>16.163763046264648</v>
      </c>
      <c r="AM28" s="42">
        <v>44.598709106445312</v>
      </c>
      <c r="AN28" s="42">
        <v>70.739509582519531</v>
      </c>
      <c r="AO28" s="42">
        <v>7.0100002288818359</v>
      </c>
      <c r="AP28" s="42">
        <v>21.796354293823239</v>
      </c>
      <c r="AQ28" s="42">
        <v>7.4163722991943359</v>
      </c>
      <c r="AR28" s="42">
        <v>42.47906494140625</v>
      </c>
      <c r="AS28" s="42">
        <v>103.81036376953119</v>
      </c>
      <c r="AT28" s="42">
        <v>29.880258560180661</v>
      </c>
      <c r="AU28" s="42">
        <v>15.121602058410639</v>
      </c>
      <c r="AV28" s="42">
        <v>22.51812744140625</v>
      </c>
      <c r="AW28" s="42">
        <v>44.00244140625</v>
      </c>
      <c r="AX28" s="42">
        <v>40.198028564453118</v>
      </c>
      <c r="AY28" s="42">
        <v>14.7459831237793</v>
      </c>
      <c r="AZ28" s="42">
        <v>1365.680053710938</v>
      </c>
    </row>
    <row r="29" spans="1:52" ht="16" x14ac:dyDescent="0.2">
      <c r="A29" s="39">
        <v>40969</v>
      </c>
      <c r="B29" s="40">
        <v>17.932317733764648</v>
      </c>
      <c r="C29" s="40">
        <v>22.0108757019043</v>
      </c>
      <c r="D29" s="40">
        <v>34.310001373291023</v>
      </c>
      <c r="E29" s="40">
        <v>4.9499998092651367</v>
      </c>
      <c r="F29" s="40">
        <v>46.082096099853523</v>
      </c>
      <c r="G29" s="40">
        <v>10.1254997253418</v>
      </c>
      <c r="H29" s="40">
        <v>74.554847717285156</v>
      </c>
      <c r="I29" s="40">
        <v>10.007407188415529</v>
      </c>
      <c r="J29" s="40">
        <v>65.96990966796875</v>
      </c>
      <c r="K29" s="40">
        <v>13.7596549987793</v>
      </c>
      <c r="L29" s="40">
        <v>59.271884918212891</v>
      </c>
      <c r="M29" s="40">
        <v>38.005077362060547</v>
      </c>
      <c r="N29" s="40">
        <v>52.754623413085938</v>
      </c>
      <c r="O29" s="40">
        <v>35.465610504150391</v>
      </c>
      <c r="P29" s="40">
        <v>39.025615692138672</v>
      </c>
      <c r="Q29" s="40">
        <v>5.179999828338623</v>
      </c>
      <c r="R29" s="40">
        <v>134.96000671386719</v>
      </c>
      <c r="S29" s="40">
        <v>52.906543731689453</v>
      </c>
      <c r="T29" s="40">
        <v>74.543693542480469</v>
      </c>
      <c r="U29" s="40">
        <v>15.89578819274902</v>
      </c>
      <c r="V29" s="40">
        <v>94.7716064453125</v>
      </c>
      <c r="W29" s="40">
        <v>35.915706634521477</v>
      </c>
      <c r="X29" s="40">
        <v>19.29999923706055</v>
      </c>
      <c r="Y29" s="40">
        <v>43.909751892089837</v>
      </c>
      <c r="Z29" s="40">
        <v>31.203338623046879</v>
      </c>
      <c r="AA29" s="40">
        <v>23.865694046020511</v>
      </c>
      <c r="AB29" s="40">
        <v>56.05010986328125</v>
      </c>
      <c r="AC29" s="40">
        <v>66.590278625488281</v>
      </c>
      <c r="AD29" s="40">
        <v>27.481620788574219</v>
      </c>
      <c r="AE29" s="40">
        <v>13.928135871887211</v>
      </c>
      <c r="AF29" s="40">
        <v>25.271036148071289</v>
      </c>
      <c r="AG29" s="40">
        <v>7.8986110687255859</v>
      </c>
      <c r="AH29" s="40">
        <v>10.250350952148439</v>
      </c>
      <c r="AI29" s="40">
        <v>32.766010284423828</v>
      </c>
      <c r="AJ29" s="40">
        <v>0.35255128145217901</v>
      </c>
      <c r="AK29" s="40">
        <v>48.201583862304688</v>
      </c>
      <c r="AL29" s="40">
        <v>15.972072601318359</v>
      </c>
      <c r="AM29" s="40">
        <v>44.32830810546875</v>
      </c>
      <c r="AN29" s="40">
        <v>66.596412658691406</v>
      </c>
      <c r="AO29" s="40">
        <v>6.6500000953674316</v>
      </c>
      <c r="AP29" s="40">
        <v>23.51705360412598</v>
      </c>
      <c r="AQ29" s="40">
        <v>7.4047904014587402</v>
      </c>
      <c r="AR29" s="40">
        <v>46.496067047119141</v>
      </c>
      <c r="AS29" s="40">
        <v>115.52976989746089</v>
      </c>
      <c r="AT29" s="40">
        <v>31.479291915893551</v>
      </c>
      <c r="AU29" s="40">
        <v>16.402048110961911</v>
      </c>
      <c r="AV29" s="40">
        <v>22.69367790222168</v>
      </c>
      <c r="AW29" s="40">
        <v>46.656654357910163</v>
      </c>
      <c r="AX29" s="40">
        <v>39.188064575195312</v>
      </c>
      <c r="AY29" s="40">
        <v>15.37736225128174</v>
      </c>
      <c r="AZ29" s="40">
        <v>1408.469970703125</v>
      </c>
    </row>
    <row r="30" spans="1:52" ht="16" x14ac:dyDescent="0.2">
      <c r="A30" s="41">
        <v>41000</v>
      </c>
      <c r="B30" s="42">
        <v>17.46662521362305</v>
      </c>
      <c r="C30" s="42">
        <v>22.478021621704102</v>
      </c>
      <c r="D30" s="42">
        <v>33.549999237060547</v>
      </c>
      <c r="E30" s="42">
        <v>4.619999885559082</v>
      </c>
      <c r="F30" s="42">
        <v>48.210968017578118</v>
      </c>
      <c r="G30" s="42">
        <v>11.59500026702881</v>
      </c>
      <c r="H30" s="42">
        <v>72.234420776367188</v>
      </c>
      <c r="I30" s="42">
        <v>10.176059722900391</v>
      </c>
      <c r="J30" s="42">
        <v>64.066375732421875</v>
      </c>
      <c r="K30" s="42">
        <v>13.16528987884521</v>
      </c>
      <c r="L30" s="42">
        <v>58.912502288818359</v>
      </c>
      <c r="M30" s="42">
        <v>37.423454284667969</v>
      </c>
      <c r="N30" s="42">
        <v>54.438457489013672</v>
      </c>
      <c r="O30" s="42">
        <v>35.710289001464837</v>
      </c>
      <c r="P30" s="42">
        <v>38.63629150390625</v>
      </c>
      <c r="Q30" s="42">
        <v>4.8000001907348633</v>
      </c>
      <c r="R30" s="42">
        <v>133.92999267578119</v>
      </c>
      <c r="S30" s="42">
        <v>49.026962280273438</v>
      </c>
      <c r="T30" s="42">
        <v>72.723739624023438</v>
      </c>
      <c r="U30" s="42">
        <v>14.993710517883301</v>
      </c>
      <c r="V30" s="42">
        <v>87.74578857421875</v>
      </c>
      <c r="W30" s="42">
        <v>36.972251892089837</v>
      </c>
      <c r="X30" s="42">
        <v>22.659999847412109</v>
      </c>
      <c r="Y30" s="42">
        <v>43.337257385253913</v>
      </c>
      <c r="Z30" s="42">
        <v>29.35837554931641</v>
      </c>
      <c r="AA30" s="42">
        <v>24.6105842590332</v>
      </c>
      <c r="AB30" s="42">
        <v>56.489936828613281</v>
      </c>
      <c r="AC30" s="42">
        <v>66.149078369140625</v>
      </c>
      <c r="AD30" s="42">
        <v>26.953044891357418</v>
      </c>
      <c r="AE30" s="42">
        <v>12.290342330932621</v>
      </c>
      <c r="AF30" s="42">
        <v>25.083038330078121</v>
      </c>
      <c r="AG30" s="42">
        <v>6.4261550903320312</v>
      </c>
      <c r="AH30" s="42">
        <v>10.799111366271971</v>
      </c>
      <c r="AI30" s="42">
        <v>28.418674468994141</v>
      </c>
      <c r="AJ30" s="42">
        <v>0.29760819673538208</v>
      </c>
      <c r="AK30" s="42">
        <v>46.180149078369141</v>
      </c>
      <c r="AL30" s="42">
        <v>16.921792984008789</v>
      </c>
      <c r="AM30" s="42">
        <v>42.328758239746087</v>
      </c>
      <c r="AN30" s="42">
        <v>69.069679260253906</v>
      </c>
      <c r="AO30" s="42">
        <v>6.190000057220459</v>
      </c>
      <c r="AP30" s="42">
        <v>23.347297668457031</v>
      </c>
      <c r="AQ30" s="42">
        <v>6.869755744934082</v>
      </c>
      <c r="AR30" s="42">
        <v>43.606288909912109</v>
      </c>
      <c r="AS30" s="42">
        <v>133.99549865722659</v>
      </c>
      <c r="AT30" s="42">
        <v>34.842453002929688</v>
      </c>
      <c r="AU30" s="42">
        <v>17.228134155273441</v>
      </c>
      <c r="AV30" s="42">
        <v>21.681375503540039</v>
      </c>
      <c r="AW30" s="42">
        <v>44.448101043701172</v>
      </c>
      <c r="AX30" s="42">
        <v>40.996532440185547</v>
      </c>
      <c r="AY30" s="42">
        <v>14.80196475982666</v>
      </c>
      <c r="AZ30" s="42">
        <v>1397.910034179688</v>
      </c>
    </row>
    <row r="31" spans="1:52" ht="16" x14ac:dyDescent="0.2">
      <c r="A31" s="39">
        <v>41030</v>
      </c>
      <c r="B31" s="40">
        <v>17.27968597412109</v>
      </c>
      <c r="C31" s="40">
        <v>22.38022613525391</v>
      </c>
      <c r="D31" s="40">
        <v>31.04999923706055</v>
      </c>
      <c r="E31" s="40">
        <v>3.9900000095367432</v>
      </c>
      <c r="F31" s="40">
        <v>47.373928070068359</v>
      </c>
      <c r="G31" s="40">
        <v>10.645500183105471</v>
      </c>
      <c r="H31" s="40">
        <v>61.585868835449219</v>
      </c>
      <c r="I31" s="40">
        <v>9.6932430267333984</v>
      </c>
      <c r="J31" s="40">
        <v>62.973583221435547</v>
      </c>
      <c r="K31" s="40">
        <v>10.664149284362789</v>
      </c>
      <c r="L31" s="40">
        <v>54.840606689453118</v>
      </c>
      <c r="M31" s="40">
        <v>39.680492401123047</v>
      </c>
      <c r="N31" s="40">
        <v>54.028171539306641</v>
      </c>
      <c r="O31" s="40">
        <v>32.049339294433587</v>
      </c>
      <c r="P31" s="40">
        <v>34.938365936279297</v>
      </c>
      <c r="Q31" s="40">
        <v>4.630000114440918</v>
      </c>
      <c r="R31" s="40">
        <v>103.48000335693359</v>
      </c>
      <c r="S31" s="40">
        <v>46.492092132568359</v>
      </c>
      <c r="T31" s="40">
        <v>70.903793334960938</v>
      </c>
      <c r="U31" s="40">
        <v>14.39901924133301</v>
      </c>
      <c r="V31" s="40">
        <v>73.273208618164062</v>
      </c>
      <c r="W31" s="40">
        <v>35.431037902832031</v>
      </c>
      <c r="X31" s="40">
        <v>21.309999465942379</v>
      </c>
      <c r="Y31" s="40">
        <v>41.964412689208977</v>
      </c>
      <c r="Z31" s="40">
        <v>22.643789291381839</v>
      </c>
      <c r="AA31" s="40">
        <v>24.097873687744141</v>
      </c>
      <c r="AB31" s="40">
        <v>47.137149810791023</v>
      </c>
      <c r="AC31" s="40">
        <v>61.118778228759773</v>
      </c>
      <c r="AD31" s="40">
        <v>25.993459701538089</v>
      </c>
      <c r="AE31" s="40">
        <v>9.5022554397583008</v>
      </c>
      <c r="AF31" s="40">
        <v>23.016181945800781</v>
      </c>
      <c r="AG31" s="40">
        <v>5.6948018074035636</v>
      </c>
      <c r="AH31" s="40">
        <v>11.06714344024658</v>
      </c>
      <c r="AI31" s="40">
        <v>21.780582427978519</v>
      </c>
      <c r="AJ31" s="40">
        <v>0.28455924987792969</v>
      </c>
      <c r="AK31" s="40">
        <v>41.494636535644531</v>
      </c>
      <c r="AL31" s="40">
        <v>16.350442886352539</v>
      </c>
      <c r="AM31" s="40">
        <v>41.430835723876953</v>
      </c>
      <c r="AN31" s="40">
        <v>64.696266174316406</v>
      </c>
      <c r="AO31" s="40">
        <v>6</v>
      </c>
      <c r="AP31" s="40">
        <v>20.87938117980957</v>
      </c>
      <c r="AQ31" s="40">
        <v>7.2797183990478516</v>
      </c>
      <c r="AR31" s="40">
        <v>39.320426940917969</v>
      </c>
      <c r="AS31" s="40">
        <v>134.38188171386719</v>
      </c>
      <c r="AT31" s="40">
        <v>37.677909851074219</v>
      </c>
      <c r="AU31" s="40">
        <v>17.586668014526371</v>
      </c>
      <c r="AV31" s="40">
        <v>19.332674026489261</v>
      </c>
      <c r="AW31" s="40">
        <v>44.147289276123047</v>
      </c>
      <c r="AX31" s="40">
        <v>40.836334228515618</v>
      </c>
      <c r="AY31" s="40">
        <v>16.65042686462402</v>
      </c>
      <c r="AZ31" s="40">
        <v>1310.329956054688</v>
      </c>
    </row>
    <row r="32" spans="1:52" ht="16" x14ac:dyDescent="0.2">
      <c r="A32" s="41">
        <v>41061</v>
      </c>
      <c r="B32" s="42">
        <v>17.467222213745121</v>
      </c>
      <c r="C32" s="42">
        <v>23.35091400146484</v>
      </c>
      <c r="D32" s="42">
        <v>32.369998931884773</v>
      </c>
      <c r="E32" s="42">
        <v>4.9099998474121094</v>
      </c>
      <c r="F32" s="42">
        <v>49.684009552001953</v>
      </c>
      <c r="G32" s="42">
        <v>11.41749954223633</v>
      </c>
      <c r="H32" s="42">
        <v>59.681076049804688</v>
      </c>
      <c r="I32" s="42">
        <v>10.775814056396481</v>
      </c>
      <c r="J32" s="42">
        <v>69.249778747558594</v>
      </c>
      <c r="K32" s="42">
        <v>11.21270275115967</v>
      </c>
      <c r="L32" s="42">
        <v>58.851432800292969</v>
      </c>
      <c r="M32" s="42">
        <v>42.102470397949219</v>
      </c>
      <c r="N32" s="42">
        <v>58.751132965087891</v>
      </c>
      <c r="O32" s="42">
        <v>31.919124603271481</v>
      </c>
      <c r="P32" s="42">
        <v>31.704904556274411</v>
      </c>
      <c r="Q32" s="42">
        <v>5.5300002098083496</v>
      </c>
      <c r="R32" s="42">
        <v>99.55999755859375</v>
      </c>
      <c r="S32" s="42">
        <v>47.908416748046882</v>
      </c>
      <c r="T32" s="42">
        <v>78.282180786132812</v>
      </c>
      <c r="U32" s="42">
        <v>14.379433631896971</v>
      </c>
      <c r="V32" s="42">
        <v>73.395729064941406</v>
      </c>
      <c r="W32" s="42">
        <v>38.052120208740227</v>
      </c>
      <c r="X32" s="42">
        <v>22.70000076293945</v>
      </c>
      <c r="Y32" s="42">
        <v>45.412727355957031</v>
      </c>
      <c r="Z32" s="42">
        <v>24.406112670898441</v>
      </c>
      <c r="AA32" s="42">
        <v>25.385763168334961</v>
      </c>
      <c r="AB32" s="42">
        <v>54.972156524658203</v>
      </c>
      <c r="AC32" s="42">
        <v>60.564670562744141</v>
      </c>
      <c r="AD32" s="42">
        <v>27.326993942260739</v>
      </c>
      <c r="AE32" s="42">
        <v>10.37708854675293</v>
      </c>
      <c r="AF32" s="42">
        <v>24.120071411132809</v>
      </c>
      <c r="AG32" s="42">
        <v>6.1531162261962891</v>
      </c>
      <c r="AH32" s="42">
        <v>11.65488338470459</v>
      </c>
      <c r="AI32" s="42">
        <v>23.288251876831051</v>
      </c>
      <c r="AJ32" s="42">
        <v>0.31638044118881231</v>
      </c>
      <c r="AK32" s="42">
        <v>42.966968536376953</v>
      </c>
      <c r="AL32" s="42">
        <v>16.671577453613281</v>
      </c>
      <c r="AM32" s="42">
        <v>40.739105224609382</v>
      </c>
      <c r="AN32" s="42">
        <v>60.849628448486328</v>
      </c>
      <c r="AO32" s="42">
        <v>6.0999999046325684</v>
      </c>
      <c r="AP32" s="42">
        <v>21.88699913024902</v>
      </c>
      <c r="AQ32" s="42">
        <v>7.492805004119873</v>
      </c>
      <c r="AR32" s="42">
        <v>38.202072143554688</v>
      </c>
      <c r="AS32" s="42">
        <v>113.152214050293</v>
      </c>
      <c r="AT32" s="42">
        <v>38.465511322021477</v>
      </c>
      <c r="AU32" s="42">
        <v>17.78133392333984</v>
      </c>
      <c r="AV32" s="42">
        <v>19.475225448608398</v>
      </c>
      <c r="AW32" s="42">
        <v>46.479499816894531</v>
      </c>
      <c r="AX32" s="42">
        <v>43.735931396484382</v>
      </c>
      <c r="AY32" s="42">
        <v>17.637008666992191</v>
      </c>
      <c r="AZ32" s="42">
        <v>1362.160034179688</v>
      </c>
    </row>
    <row r="33" spans="1:52" ht="16" x14ac:dyDescent="0.2">
      <c r="A33" s="39">
        <v>41091</v>
      </c>
      <c r="B33" s="40">
        <v>18.267597198486332</v>
      </c>
      <c r="C33" s="40">
        <v>24.205343246459961</v>
      </c>
      <c r="D33" s="40">
        <v>30.879999160766602</v>
      </c>
      <c r="E33" s="40">
        <v>4.429999828338623</v>
      </c>
      <c r="F33" s="40">
        <v>56.287204742431641</v>
      </c>
      <c r="G33" s="40">
        <v>11.664999961853029</v>
      </c>
      <c r="H33" s="40">
        <v>59.567230224609382</v>
      </c>
      <c r="I33" s="40">
        <v>10.9713134765625</v>
      </c>
      <c r="J33" s="40">
        <v>70.109909057617188</v>
      </c>
      <c r="K33" s="40">
        <v>10.46475219726562</v>
      </c>
      <c r="L33" s="40">
        <v>61.127414703369141</v>
      </c>
      <c r="M33" s="40">
        <v>42.658054351806641</v>
      </c>
      <c r="N33" s="40">
        <v>56.110637664794922</v>
      </c>
      <c r="O33" s="40">
        <v>32.734584808349609</v>
      </c>
      <c r="P33" s="40">
        <v>34.549007415771477</v>
      </c>
      <c r="Q33" s="40">
        <v>6.25</v>
      </c>
      <c r="R33" s="40">
        <v>93.379997253417969</v>
      </c>
      <c r="S33" s="40">
        <v>46.43658447265625</v>
      </c>
      <c r="T33" s="40">
        <v>77.944107055664062</v>
      </c>
      <c r="U33" s="40">
        <v>15.69078159332275</v>
      </c>
      <c r="V33" s="40">
        <v>77.254631042480469</v>
      </c>
      <c r="W33" s="40">
        <v>37.470462799072273</v>
      </c>
      <c r="X33" s="40">
        <v>24.989999771118161</v>
      </c>
      <c r="Y33" s="40">
        <v>46.528541564941413</v>
      </c>
      <c r="Z33" s="40">
        <v>24.795576095581051</v>
      </c>
      <c r="AA33" s="40">
        <v>26.233150482177731</v>
      </c>
      <c r="AB33" s="40">
        <v>60.054328918457031</v>
      </c>
      <c r="AC33" s="40">
        <v>61.132461547851562</v>
      </c>
      <c r="AD33" s="40">
        <v>27.999700546264648</v>
      </c>
      <c r="AE33" s="40">
        <v>9.753143310546875</v>
      </c>
      <c r="AF33" s="40">
        <v>23.23695182800293</v>
      </c>
      <c r="AG33" s="40">
        <v>6.0556015968322754</v>
      </c>
      <c r="AH33" s="40">
        <v>12.00888633728027</v>
      </c>
      <c r="AI33" s="40">
        <v>23.910329818725589</v>
      </c>
      <c r="AJ33" s="40">
        <v>0.30997040867805481</v>
      </c>
      <c r="AK33" s="40">
        <v>46.405410766601562</v>
      </c>
      <c r="AL33" s="40">
        <v>17.538455963134769</v>
      </c>
      <c r="AM33" s="40">
        <v>43.299732208251953</v>
      </c>
      <c r="AN33" s="40">
        <v>63.572338104248047</v>
      </c>
      <c r="AO33" s="40">
        <v>5.8499999046325684</v>
      </c>
      <c r="AP33" s="40">
        <v>21.294218063354489</v>
      </c>
      <c r="AQ33" s="40">
        <v>7.8703403472900391</v>
      </c>
      <c r="AR33" s="40">
        <v>40.946475982666023</v>
      </c>
      <c r="AS33" s="40">
        <v>133.39122009277341</v>
      </c>
      <c r="AT33" s="40">
        <v>39.046802520751953</v>
      </c>
      <c r="AU33" s="40">
        <v>18.340494155883789</v>
      </c>
      <c r="AV33" s="40">
        <v>18.60788726806641</v>
      </c>
      <c r="AW33" s="40">
        <v>40.592098236083977</v>
      </c>
      <c r="AX33" s="40">
        <v>44.945610046386719</v>
      </c>
      <c r="AY33" s="40">
        <v>18.8284912109375</v>
      </c>
      <c r="AZ33" s="40">
        <v>1379.319946289062</v>
      </c>
    </row>
    <row r="34" spans="1:52" ht="16" x14ac:dyDescent="0.2">
      <c r="A34" s="41">
        <v>41122</v>
      </c>
      <c r="B34" s="42">
        <v>19.98250770568848</v>
      </c>
      <c r="C34" s="42">
        <v>23.92426681518555</v>
      </c>
      <c r="D34" s="42">
        <v>31.270000457763668</v>
      </c>
      <c r="E34" s="42">
        <v>4.869999885559082</v>
      </c>
      <c r="F34" s="42">
        <v>57.438159942626953</v>
      </c>
      <c r="G34" s="42">
        <v>12.41349983215332</v>
      </c>
      <c r="H34" s="42">
        <v>60.359481811523438</v>
      </c>
      <c r="I34" s="42">
        <v>11.30162906646729</v>
      </c>
      <c r="J34" s="42">
        <v>71.547248840332031</v>
      </c>
      <c r="K34" s="42">
        <v>12.518330574035639</v>
      </c>
      <c r="L34" s="42">
        <v>63.067501068115227</v>
      </c>
      <c r="M34" s="42">
        <v>42.944526672363281</v>
      </c>
      <c r="N34" s="42">
        <v>54.893276214599609</v>
      </c>
      <c r="O34" s="42">
        <v>35.026519775390618</v>
      </c>
      <c r="P34" s="42">
        <v>38.176288604736328</v>
      </c>
      <c r="Q34" s="42">
        <v>4.429999828338623</v>
      </c>
      <c r="R34" s="42">
        <v>97.489997863769531</v>
      </c>
      <c r="S34" s="42">
        <v>47.951770782470703</v>
      </c>
      <c r="T34" s="42">
        <v>77.793853759765625</v>
      </c>
      <c r="U34" s="42">
        <v>16.982791900634769</v>
      </c>
      <c r="V34" s="42">
        <v>81.300872802734375</v>
      </c>
      <c r="W34" s="42">
        <v>40.961788177490227</v>
      </c>
      <c r="X34" s="42">
        <v>20.010000228881839</v>
      </c>
      <c r="Y34" s="42">
        <v>45.737209320068359</v>
      </c>
      <c r="Z34" s="42">
        <v>25.58077239990234</v>
      </c>
      <c r="AA34" s="42">
        <v>24.285146713256839</v>
      </c>
      <c r="AB34" s="42">
        <v>55.450511932373047</v>
      </c>
      <c r="AC34" s="42">
        <v>61.703197479248047</v>
      </c>
      <c r="AD34" s="42">
        <v>28.880464553833011</v>
      </c>
      <c r="AE34" s="42">
        <v>10.70989322662354</v>
      </c>
      <c r="AF34" s="42">
        <v>24.4624137878418</v>
      </c>
      <c r="AG34" s="42">
        <v>6.0556015968322754</v>
      </c>
      <c r="AH34" s="42">
        <v>11.501726150512701</v>
      </c>
      <c r="AI34" s="42">
        <v>25.26430702209473</v>
      </c>
      <c r="AJ34" s="42">
        <v>0.32118800282478333</v>
      </c>
      <c r="AK34" s="42">
        <v>48.224857330322273</v>
      </c>
      <c r="AL34" s="42">
        <v>17.67689323425293</v>
      </c>
      <c r="AM34" s="42">
        <v>45.07763671875</v>
      </c>
      <c r="AN34" s="42">
        <v>63.622268676757812</v>
      </c>
      <c r="AO34" s="42">
        <v>5.869999885559082</v>
      </c>
      <c r="AP34" s="42">
        <v>22.50612831115723</v>
      </c>
      <c r="AQ34" s="42">
        <v>7.8865537643432617</v>
      </c>
      <c r="AR34" s="42">
        <v>42.167716979980469</v>
      </c>
      <c r="AS34" s="42">
        <v>146.66595458984381</v>
      </c>
      <c r="AT34" s="42">
        <v>41.699073791503913</v>
      </c>
      <c r="AU34" s="42">
        <v>19.01425743103027</v>
      </c>
      <c r="AV34" s="42">
        <v>19.837478637695309</v>
      </c>
      <c r="AW34" s="42">
        <v>43.142520904541023</v>
      </c>
      <c r="AX34" s="42">
        <v>44.734073638916023</v>
      </c>
      <c r="AY34" s="42">
        <v>18.464883804321289</v>
      </c>
      <c r="AZ34" s="42">
        <v>1406.579956054688</v>
      </c>
    </row>
    <row r="35" spans="1:52" ht="16" x14ac:dyDescent="0.2">
      <c r="A35" s="39">
        <v>41153</v>
      </c>
      <c r="B35" s="40">
        <v>20.038385391235352</v>
      </c>
      <c r="C35" s="40">
        <v>25.02666091918945</v>
      </c>
      <c r="D35" s="40">
        <v>32.439998626708977</v>
      </c>
      <c r="E35" s="40">
        <v>5.3499999046325684</v>
      </c>
      <c r="F35" s="40">
        <v>57.691390991210938</v>
      </c>
      <c r="G35" s="40">
        <v>12.715999603271481</v>
      </c>
      <c r="H35" s="40">
        <v>60.861709594726562</v>
      </c>
      <c r="I35" s="40">
        <v>12.04653167724609</v>
      </c>
      <c r="J35" s="40">
        <v>73.221298217773438</v>
      </c>
      <c r="K35" s="40">
        <v>12.53145694732666</v>
      </c>
      <c r="L35" s="40">
        <v>65.541633605957031</v>
      </c>
      <c r="M35" s="40">
        <v>45.383869171142578</v>
      </c>
      <c r="N35" s="40">
        <v>55.733715057373047</v>
      </c>
      <c r="O35" s="40">
        <v>33.334564208984382</v>
      </c>
      <c r="P35" s="40">
        <v>39.498180389404297</v>
      </c>
      <c r="Q35" s="40">
        <v>4.8299999237060547</v>
      </c>
      <c r="R35" s="40">
        <v>104.63999938964839</v>
      </c>
      <c r="S35" s="40">
        <v>48.398284912109382</v>
      </c>
      <c r="T35" s="40">
        <v>85.958023071289062</v>
      </c>
      <c r="U35" s="40">
        <v>18.70340538024902</v>
      </c>
      <c r="V35" s="40">
        <v>87.422264099121094</v>
      </c>
      <c r="W35" s="40">
        <v>43.574680328369141</v>
      </c>
      <c r="X35" s="40">
        <v>18.04999923706055</v>
      </c>
      <c r="Y35" s="40">
        <v>46.741073608398438</v>
      </c>
      <c r="Z35" s="40">
        <v>27.88124847412109</v>
      </c>
      <c r="AA35" s="40">
        <v>24.796701431274411</v>
      </c>
      <c r="AB35" s="40">
        <v>61.058334350585938</v>
      </c>
      <c r="AC35" s="40">
        <v>63.261478424072273</v>
      </c>
      <c r="AD35" s="40">
        <v>30.627775192260739</v>
      </c>
      <c r="AE35" s="40">
        <v>11.952237129211429</v>
      </c>
      <c r="AF35" s="40">
        <v>23.621072769165039</v>
      </c>
      <c r="AG35" s="40">
        <v>5.8313207626342773</v>
      </c>
      <c r="AH35" s="40">
        <v>12.0177755355835</v>
      </c>
      <c r="AI35" s="40">
        <v>24.064031600952148</v>
      </c>
      <c r="AJ35" s="40">
        <v>0.30539178848266602</v>
      </c>
      <c r="AK35" s="40">
        <v>49.765083312988281</v>
      </c>
      <c r="AL35" s="40">
        <v>19.177423477172852</v>
      </c>
      <c r="AM35" s="40">
        <v>46.533477783203118</v>
      </c>
      <c r="AN35" s="40">
        <v>66.486015319824219</v>
      </c>
      <c r="AO35" s="40">
        <v>5.369999885559082</v>
      </c>
      <c r="AP35" s="40">
        <v>23.252523422241211</v>
      </c>
      <c r="AQ35" s="40">
        <v>9.0840139389038086</v>
      </c>
      <c r="AR35" s="40">
        <v>43.037616729736328</v>
      </c>
      <c r="AS35" s="40">
        <v>151.23286437988281</v>
      </c>
      <c r="AT35" s="40">
        <v>43.398178100585938</v>
      </c>
      <c r="AU35" s="40">
        <v>18.599006652832031</v>
      </c>
      <c r="AV35" s="40">
        <v>18.826478958129879</v>
      </c>
      <c r="AW35" s="40">
        <v>44.202762603759773</v>
      </c>
      <c r="AX35" s="40">
        <v>43.724754333496087</v>
      </c>
      <c r="AY35" s="40">
        <v>18.770086288452148</v>
      </c>
      <c r="AZ35" s="40">
        <v>1440.670043945312</v>
      </c>
    </row>
    <row r="36" spans="1:52" ht="16" x14ac:dyDescent="0.2">
      <c r="A36" s="41">
        <v>41183</v>
      </c>
      <c r="B36" s="42">
        <v>17.882253646850589</v>
      </c>
      <c r="C36" s="42">
        <v>24.08421516418457</v>
      </c>
      <c r="D36" s="42">
        <v>34.029998779296882</v>
      </c>
      <c r="E36" s="42">
        <v>5.429999828338623</v>
      </c>
      <c r="F36" s="42">
        <v>59.197185516357422</v>
      </c>
      <c r="G36" s="42">
        <v>11.64449977874756</v>
      </c>
      <c r="H36" s="42">
        <v>60.353939056396477</v>
      </c>
      <c r="I36" s="42">
        <v>12.707826614379879</v>
      </c>
      <c r="J36" s="42">
        <v>71.956619262695312</v>
      </c>
      <c r="K36" s="42">
        <v>11.335415840148929</v>
      </c>
      <c r="L36" s="42">
        <v>61.987888336181641</v>
      </c>
      <c r="M36" s="42">
        <v>42.640701293945312</v>
      </c>
      <c r="N36" s="42">
        <v>59.852909088134773</v>
      </c>
      <c r="O36" s="42">
        <v>33.445064544677727</v>
      </c>
      <c r="P36" s="42">
        <v>41.1275634765625</v>
      </c>
      <c r="Q36" s="42">
        <v>4.7399997711181641</v>
      </c>
      <c r="R36" s="42">
        <v>82.589996337890625</v>
      </c>
      <c r="S36" s="42">
        <v>50.213485717773438</v>
      </c>
      <c r="T36" s="42">
        <v>79.712715148925781</v>
      </c>
      <c r="U36" s="42">
        <v>16.86405181884766</v>
      </c>
      <c r="V36" s="42">
        <v>94.120399475097656</v>
      </c>
      <c r="W36" s="42">
        <v>44.303691864013672</v>
      </c>
      <c r="X36" s="42">
        <v>15.960000038146971</v>
      </c>
      <c r="Y36" s="42">
        <v>48.036609649658203</v>
      </c>
      <c r="Z36" s="42">
        <v>28.919780731201168</v>
      </c>
      <c r="AA36" s="42">
        <v>24.306392669677731</v>
      </c>
      <c r="AB36" s="42">
        <v>64.791236877441406</v>
      </c>
      <c r="AC36" s="42">
        <v>59.848423004150391</v>
      </c>
      <c r="AD36" s="42">
        <v>29.71065711975098</v>
      </c>
      <c r="AE36" s="42">
        <v>12.445713996887211</v>
      </c>
      <c r="AF36" s="42">
        <v>22.652744293212891</v>
      </c>
      <c r="AG36" s="42">
        <v>5.2949938774108887</v>
      </c>
      <c r="AH36" s="42">
        <v>11.971639633178709</v>
      </c>
      <c r="AI36" s="42">
        <v>19.694742202758789</v>
      </c>
      <c r="AJ36" s="42">
        <v>0.27425745129585272</v>
      </c>
      <c r="AK36" s="42">
        <v>47.134975433349609</v>
      </c>
      <c r="AL36" s="42">
        <v>18.776485443115231</v>
      </c>
      <c r="AM36" s="42">
        <v>46.834430694580078</v>
      </c>
      <c r="AN36" s="42">
        <v>62.572227478027337</v>
      </c>
      <c r="AO36" s="42">
        <v>4.8899998664855957</v>
      </c>
      <c r="AP36" s="42">
        <v>22.761323928833011</v>
      </c>
      <c r="AQ36" s="42">
        <v>8.2849340438842773</v>
      </c>
      <c r="AR36" s="42">
        <v>40.378341674804688</v>
      </c>
      <c r="AS36" s="42">
        <v>140.96971130371091</v>
      </c>
      <c r="AT36" s="42">
        <v>41.553367614746087</v>
      </c>
      <c r="AU36" s="42">
        <v>17.286823272705082</v>
      </c>
      <c r="AV36" s="42">
        <v>19.32888031005859</v>
      </c>
      <c r="AW36" s="42">
        <v>44.673442840576172</v>
      </c>
      <c r="AX36" s="42">
        <v>45.319774627685547</v>
      </c>
      <c r="AY36" s="42">
        <v>19.080379486083981</v>
      </c>
      <c r="AZ36" s="42">
        <v>1412.160034179688</v>
      </c>
    </row>
    <row r="37" spans="1:52" ht="16" x14ac:dyDescent="0.2">
      <c r="A37" s="39">
        <v>41214</v>
      </c>
      <c r="B37" s="40">
        <v>17.660970687866211</v>
      </c>
      <c r="C37" s="40">
        <v>23.900362014770511</v>
      </c>
      <c r="D37" s="40">
        <v>34.610000610351562</v>
      </c>
      <c r="E37" s="40">
        <v>6.7800002098083496</v>
      </c>
      <c r="F37" s="40">
        <v>61.035171508789062</v>
      </c>
      <c r="G37" s="40">
        <v>12.602499961853029</v>
      </c>
      <c r="H37" s="40">
        <v>60.659942626953118</v>
      </c>
      <c r="I37" s="40">
        <v>12.59608840942383</v>
      </c>
      <c r="J37" s="40">
        <v>76.188972473144531</v>
      </c>
      <c r="K37" s="40">
        <v>12.5911865234375</v>
      </c>
      <c r="L37" s="40">
        <v>59.941837310791023</v>
      </c>
      <c r="M37" s="40">
        <v>43.109462738037109</v>
      </c>
      <c r="N37" s="40">
        <v>61.985576629638672</v>
      </c>
      <c r="O37" s="40">
        <v>34.975440979003913</v>
      </c>
      <c r="P37" s="40">
        <v>41.526527404785163</v>
      </c>
      <c r="Q37" s="40">
        <v>4.880000114440918</v>
      </c>
      <c r="R37" s="40">
        <v>93.680000305175781</v>
      </c>
      <c r="S37" s="40">
        <v>49.048122406005859</v>
      </c>
      <c r="T37" s="40">
        <v>79.977676391601562</v>
      </c>
      <c r="U37" s="40">
        <v>17.311990737915039</v>
      </c>
      <c r="V37" s="40">
        <v>90.967063903808594</v>
      </c>
      <c r="W37" s="40">
        <v>47.178653717041023</v>
      </c>
      <c r="X37" s="40">
        <v>17.60000038146973</v>
      </c>
      <c r="Y37" s="40">
        <v>47.715522766113281</v>
      </c>
      <c r="Z37" s="40">
        <v>28.503488540649411</v>
      </c>
      <c r="AA37" s="40">
        <v>24.96025466918945</v>
      </c>
      <c r="AB37" s="40">
        <v>67.200920104980469</v>
      </c>
      <c r="AC37" s="40">
        <v>60.552833557128913</v>
      </c>
      <c r="AD37" s="40">
        <v>30.08936882019043</v>
      </c>
      <c r="AE37" s="40">
        <v>12.080508232116699</v>
      </c>
      <c r="AF37" s="40">
        <v>21.30241584777832</v>
      </c>
      <c r="AG37" s="40">
        <v>5.8215680122375488</v>
      </c>
      <c r="AH37" s="40">
        <v>11.84575748443604</v>
      </c>
      <c r="AI37" s="40">
        <v>23.207731246948239</v>
      </c>
      <c r="AJ37" s="40">
        <v>0.27579653263092041</v>
      </c>
      <c r="AK37" s="40">
        <v>47.611885070800781</v>
      </c>
      <c r="AL37" s="40">
        <v>17.9370002746582</v>
      </c>
      <c r="AM37" s="40">
        <v>47.233505249023438</v>
      </c>
      <c r="AN37" s="40">
        <v>65.683303833007812</v>
      </c>
      <c r="AO37" s="40">
        <v>5.1500000953674316</v>
      </c>
      <c r="AP37" s="40">
        <v>22.528995513916019</v>
      </c>
      <c r="AQ37" s="40">
        <v>9.3665847778320312</v>
      </c>
      <c r="AR37" s="40">
        <v>43.829902648925781</v>
      </c>
      <c r="AS37" s="40">
        <v>174.89952087402341</v>
      </c>
      <c r="AT37" s="40">
        <v>44.564571380615227</v>
      </c>
      <c r="AU37" s="40">
        <v>18.462713241577148</v>
      </c>
      <c r="AV37" s="40">
        <v>20.27846527099609</v>
      </c>
      <c r="AW37" s="40">
        <v>43.389076232910163</v>
      </c>
      <c r="AX37" s="40">
        <v>45.484382629394531</v>
      </c>
      <c r="AY37" s="40">
        <v>18.31736946105957</v>
      </c>
      <c r="AZ37" s="40">
        <v>1416.180053710938</v>
      </c>
    </row>
    <row r="38" spans="1:52" ht="16" x14ac:dyDescent="0.2">
      <c r="A38" s="41">
        <v>41244</v>
      </c>
      <c r="B38" s="42">
        <v>16.0583610534668</v>
      </c>
      <c r="C38" s="42">
        <v>24.08421516418457</v>
      </c>
      <c r="D38" s="42">
        <v>37.680000305175781</v>
      </c>
      <c r="E38" s="42">
        <v>7.1500000953674316</v>
      </c>
      <c r="F38" s="42">
        <v>59.248104095458977</v>
      </c>
      <c r="G38" s="42">
        <v>12.54349994659424</v>
      </c>
      <c r="H38" s="42">
        <v>64.137138366699219</v>
      </c>
      <c r="I38" s="42">
        <v>12.706257820129389</v>
      </c>
      <c r="J38" s="42">
        <v>77.50457763671875</v>
      </c>
      <c r="K38" s="42">
        <v>13.08391189575195</v>
      </c>
      <c r="L38" s="42">
        <v>61.33135986328125</v>
      </c>
      <c r="M38" s="42">
        <v>43.886051177978523</v>
      </c>
      <c r="N38" s="42">
        <v>62.032669067382812</v>
      </c>
      <c r="O38" s="42">
        <v>36.876338958740227</v>
      </c>
      <c r="P38" s="42">
        <v>42.645713806152337</v>
      </c>
      <c r="Q38" s="42">
        <v>4.570000171661377</v>
      </c>
      <c r="R38" s="42">
        <v>97.150001525878906</v>
      </c>
      <c r="S38" s="42">
        <v>51.477249145507812</v>
      </c>
      <c r="T38" s="42">
        <v>80.172798156738281</v>
      </c>
      <c r="U38" s="42">
        <v>17.53533935546875</v>
      </c>
      <c r="V38" s="42">
        <v>98.512237548828125</v>
      </c>
      <c r="W38" s="42">
        <v>44.844036102294922</v>
      </c>
      <c r="X38" s="42">
        <v>16.610000610351559</v>
      </c>
      <c r="Y38" s="42">
        <v>47.968719482421882</v>
      </c>
      <c r="Z38" s="42">
        <v>30.50871467590332</v>
      </c>
      <c r="AA38" s="42">
        <v>23.86100959777832</v>
      </c>
      <c r="AB38" s="42">
        <v>68.076087951660156</v>
      </c>
      <c r="AC38" s="42">
        <v>61.366809844970703</v>
      </c>
      <c r="AD38" s="42">
        <v>29.490383148193359</v>
      </c>
      <c r="AE38" s="42">
        <v>13.69172382354736</v>
      </c>
      <c r="AF38" s="42">
        <v>21.374435424804691</v>
      </c>
      <c r="AG38" s="42">
        <v>6.1823701858520508</v>
      </c>
      <c r="AH38" s="42">
        <v>11.928505897521971</v>
      </c>
      <c r="AI38" s="42">
        <v>24.554389953613281</v>
      </c>
      <c r="AJ38" s="42">
        <v>0.28247824311256409</v>
      </c>
      <c r="AK38" s="42">
        <v>48.615100860595703</v>
      </c>
      <c r="AL38" s="42">
        <v>17.08952522277832</v>
      </c>
      <c r="AM38" s="42">
        <v>45.921283721923828</v>
      </c>
      <c r="AN38" s="42">
        <v>68.010002136230469</v>
      </c>
      <c r="AO38" s="42">
        <v>5.9600000381469727</v>
      </c>
      <c r="AP38" s="42">
        <v>24.415494918823239</v>
      </c>
      <c r="AQ38" s="42">
        <v>10.17288303375244</v>
      </c>
      <c r="AR38" s="42">
        <v>42.785903930664062</v>
      </c>
      <c r="AS38" s="42">
        <v>169.47074890136719</v>
      </c>
      <c r="AT38" s="42">
        <v>44.944438934326172</v>
      </c>
      <c r="AU38" s="42">
        <v>17.675727844238281</v>
      </c>
      <c r="AV38" s="42">
        <v>21.255584716796879</v>
      </c>
      <c r="AW38" s="42">
        <v>43.441871643066413</v>
      </c>
      <c r="AX38" s="42">
        <v>46.573532104492188</v>
      </c>
      <c r="AY38" s="42">
        <v>17.44972038269043</v>
      </c>
      <c r="AZ38" s="42">
        <v>1426.18994140625</v>
      </c>
    </row>
    <row r="39" spans="1:52" ht="16" x14ac:dyDescent="0.2">
      <c r="A39" s="39">
        <v>41275</v>
      </c>
      <c r="B39" s="40">
        <v>13.74452018737793</v>
      </c>
      <c r="C39" s="40">
        <v>26.071987152099609</v>
      </c>
      <c r="D39" s="40">
        <v>37.830001831054688</v>
      </c>
      <c r="E39" s="40">
        <v>8.2799997329711914</v>
      </c>
      <c r="F39" s="40">
        <v>58.739482879638672</v>
      </c>
      <c r="G39" s="40">
        <v>13.27499961853027</v>
      </c>
      <c r="H39" s="40">
        <v>70.421310424804688</v>
      </c>
      <c r="I39" s="40">
        <v>12.95113563537598</v>
      </c>
      <c r="J39" s="40">
        <v>80.338493347167969</v>
      </c>
      <c r="K39" s="40">
        <v>13.696492195129389</v>
      </c>
      <c r="L39" s="40">
        <v>65.307037353515625</v>
      </c>
      <c r="M39" s="40">
        <v>47.491069793701172</v>
      </c>
      <c r="N39" s="40">
        <v>62.464065551757812</v>
      </c>
      <c r="O39" s="40">
        <v>39.863506317138672</v>
      </c>
      <c r="P39" s="40">
        <v>44.185279846191413</v>
      </c>
      <c r="Q39" s="40">
        <v>4.6599998474121094</v>
      </c>
      <c r="R39" s="40">
        <v>104.879997253418</v>
      </c>
      <c r="S39" s="40">
        <v>49.270130157470703</v>
      </c>
      <c r="T39" s="40">
        <v>85.100051879882812</v>
      </c>
      <c r="U39" s="40">
        <v>18.732904434204102</v>
      </c>
      <c r="V39" s="40">
        <v>114.18955993652339</v>
      </c>
      <c r="W39" s="40">
        <v>48.520000457763672</v>
      </c>
      <c r="X39" s="40">
        <v>18.379999160766602</v>
      </c>
      <c r="Y39" s="40">
        <v>50.582695007324219</v>
      </c>
      <c r="Z39" s="40">
        <v>32.870040893554688</v>
      </c>
      <c r="AA39" s="40">
        <v>24.51265716552734</v>
      </c>
      <c r="AB39" s="40">
        <v>79.053909301757812</v>
      </c>
      <c r="AC39" s="40">
        <v>66.292243957519531</v>
      </c>
      <c r="AD39" s="40">
        <v>33.501987457275391</v>
      </c>
      <c r="AE39" s="40">
        <v>16.362752914428711</v>
      </c>
      <c r="AF39" s="40">
        <v>21.966609954833981</v>
      </c>
      <c r="AG39" s="40">
        <v>7.3720369338989258</v>
      </c>
      <c r="AH39" s="40">
        <v>12.42157649993896</v>
      </c>
      <c r="AI39" s="40">
        <v>26.347492218017582</v>
      </c>
      <c r="AJ39" s="40">
        <v>0.28247824311256409</v>
      </c>
      <c r="AK39" s="40">
        <v>57.12884521484375</v>
      </c>
      <c r="AL39" s="40">
        <v>18.936391830444339</v>
      </c>
      <c r="AM39" s="40">
        <v>51.250949859619141</v>
      </c>
      <c r="AN39" s="40">
        <v>74.334465026855469</v>
      </c>
      <c r="AO39" s="40">
        <v>5.9899997711181641</v>
      </c>
      <c r="AP39" s="40">
        <v>26.697124481201168</v>
      </c>
      <c r="AQ39" s="40">
        <v>11.46479511260986</v>
      </c>
      <c r="AR39" s="40">
        <v>45.663204193115227</v>
      </c>
      <c r="AS39" s="40">
        <v>172.3139343261719</v>
      </c>
      <c r="AT39" s="40">
        <v>47.375419616699219</v>
      </c>
      <c r="AU39" s="40">
        <v>18.812467575073239</v>
      </c>
      <c r="AV39" s="40">
        <v>22.908136367797852</v>
      </c>
      <c r="AW39" s="40">
        <v>44.218765258789062</v>
      </c>
      <c r="AX39" s="40">
        <v>48.699939727783203</v>
      </c>
      <c r="AY39" s="40">
        <v>17.88961219787598</v>
      </c>
      <c r="AZ39" s="40">
        <v>1498.109985351562</v>
      </c>
    </row>
    <row r="40" spans="1:52" ht="16" x14ac:dyDescent="0.2">
      <c r="A40" s="41">
        <v>41306</v>
      </c>
      <c r="B40" s="42">
        <v>13.396976470947269</v>
      </c>
      <c r="C40" s="42">
        <v>26.00273323059082</v>
      </c>
      <c r="D40" s="42">
        <v>39.310001373291023</v>
      </c>
      <c r="E40" s="42">
        <v>8.8100004196166992</v>
      </c>
      <c r="F40" s="42">
        <v>63.268039703369141</v>
      </c>
      <c r="G40" s="42">
        <v>13.21350002288818</v>
      </c>
      <c r="H40" s="42">
        <v>66.112571716308594</v>
      </c>
      <c r="I40" s="42">
        <v>13.5327091217041</v>
      </c>
      <c r="J40" s="42">
        <v>79.7264404296875</v>
      </c>
      <c r="K40" s="42">
        <v>13.889589309692379</v>
      </c>
      <c r="L40" s="42">
        <v>66.958633422851562</v>
      </c>
      <c r="M40" s="42">
        <v>48.116874694824219</v>
      </c>
      <c r="N40" s="42">
        <v>66.044532775878906</v>
      </c>
      <c r="O40" s="42">
        <v>39.761211395263672</v>
      </c>
      <c r="P40" s="42">
        <v>44.443359375</v>
      </c>
      <c r="Q40" s="42">
        <v>4.559999942779541</v>
      </c>
      <c r="R40" s="42">
        <v>94.430000305175781</v>
      </c>
      <c r="S40" s="42">
        <v>50.511173248291023</v>
      </c>
      <c r="T40" s="42">
        <v>89.416183471679688</v>
      </c>
      <c r="U40" s="42">
        <v>19.86105918884277</v>
      </c>
      <c r="V40" s="42">
        <v>116.0498733520508</v>
      </c>
      <c r="W40" s="42">
        <v>49.665561676025391</v>
      </c>
      <c r="X40" s="42">
        <v>22.229999542236332</v>
      </c>
      <c r="Y40" s="42">
        <v>52.497905731201172</v>
      </c>
      <c r="Z40" s="42">
        <v>34.176475524902337</v>
      </c>
      <c r="AA40" s="42">
        <v>25.486843109130859</v>
      </c>
      <c r="AB40" s="42">
        <v>72.69622802734375</v>
      </c>
      <c r="AC40" s="42">
        <v>67.254852294921875</v>
      </c>
      <c r="AD40" s="42">
        <v>32.322956085205078</v>
      </c>
      <c r="AE40" s="42">
        <v>16.1833381652832</v>
      </c>
      <c r="AF40" s="42">
        <v>22.430889129638668</v>
      </c>
      <c r="AG40" s="42">
        <v>8.1716508865356445</v>
      </c>
      <c r="AH40" s="42">
        <v>12.504744529724119</v>
      </c>
      <c r="AI40" s="42">
        <v>24.766628265380859</v>
      </c>
      <c r="AJ40" s="42">
        <v>0.29348397254943848</v>
      </c>
      <c r="AK40" s="42">
        <v>57.641189575195312</v>
      </c>
      <c r="AL40" s="42">
        <v>18.122699737548832</v>
      </c>
      <c r="AM40" s="42">
        <v>51.946453094482422</v>
      </c>
      <c r="AN40" s="42">
        <v>75.889144897460938</v>
      </c>
      <c r="AO40" s="42">
        <v>6.6399998664855957</v>
      </c>
      <c r="AP40" s="42">
        <v>26.054777145385739</v>
      </c>
      <c r="AQ40" s="42">
        <v>11.30976486206055</v>
      </c>
      <c r="AR40" s="42">
        <v>45.400363922119141</v>
      </c>
      <c r="AS40" s="42">
        <v>165.4388122558594</v>
      </c>
      <c r="AT40" s="42">
        <v>47.363361358642578</v>
      </c>
      <c r="AU40" s="42">
        <v>18.772577285766602</v>
      </c>
      <c r="AV40" s="42">
        <v>23.843019485473629</v>
      </c>
      <c r="AW40" s="42">
        <v>42.809154510498047</v>
      </c>
      <c r="AX40" s="42">
        <v>51.057533264160163</v>
      </c>
      <c r="AY40" s="42">
        <v>18.101882934570309</v>
      </c>
      <c r="AZ40" s="42">
        <v>1514.680053710938</v>
      </c>
    </row>
    <row r="41" spans="1:52" ht="16" x14ac:dyDescent="0.2">
      <c r="A41" s="39">
        <v>41334</v>
      </c>
      <c r="B41" s="40">
        <v>13.435221672058111</v>
      </c>
      <c r="C41" s="40">
        <v>27.180131912231449</v>
      </c>
      <c r="D41" s="40">
        <v>43.520000457763672</v>
      </c>
      <c r="E41" s="40">
        <v>13.189999580383301</v>
      </c>
      <c r="F41" s="40">
        <v>70.842216491699219</v>
      </c>
      <c r="G41" s="40">
        <v>13.32450008392334</v>
      </c>
      <c r="H41" s="40">
        <v>62.247611999511719</v>
      </c>
      <c r="I41" s="40">
        <v>14.27753257751465</v>
      </c>
      <c r="J41" s="40">
        <v>83.520332336425781</v>
      </c>
      <c r="K41" s="40">
        <v>13.916225433349609</v>
      </c>
      <c r="L41" s="40">
        <v>67.913131713867188</v>
      </c>
      <c r="M41" s="40">
        <v>50.0648193359375</v>
      </c>
      <c r="N41" s="40">
        <v>69.384834289550781</v>
      </c>
      <c r="O41" s="40">
        <v>39.179164886474609</v>
      </c>
      <c r="P41" s="40">
        <v>45.277698516845703</v>
      </c>
      <c r="Q41" s="40">
        <v>4.619999885559082</v>
      </c>
      <c r="R41" s="40">
        <v>89.080001831054688</v>
      </c>
      <c r="S41" s="40">
        <v>52.398750305175781</v>
      </c>
      <c r="T41" s="40">
        <v>89.031082153320312</v>
      </c>
      <c r="U41" s="40">
        <v>19.687284469604489</v>
      </c>
      <c r="V41" s="40">
        <v>114.0273742675781</v>
      </c>
      <c r="W41" s="40">
        <v>50.871807098388672</v>
      </c>
      <c r="X41" s="40">
        <v>23.409999847412109</v>
      </c>
      <c r="Y41" s="40">
        <v>56.236408233642578</v>
      </c>
      <c r="Z41" s="40">
        <v>33.156478881835938</v>
      </c>
      <c r="AA41" s="40">
        <v>26.811704635620121</v>
      </c>
      <c r="AB41" s="40">
        <v>75.018768310546875</v>
      </c>
      <c r="AC41" s="40">
        <v>69.912765502929688</v>
      </c>
      <c r="AD41" s="40">
        <v>33.760810852050781</v>
      </c>
      <c r="AE41" s="40">
        <v>15.77426338195801</v>
      </c>
      <c r="AF41" s="40">
        <v>23.084453582763668</v>
      </c>
      <c r="AG41" s="40">
        <v>9.731867790222168</v>
      </c>
      <c r="AH41" s="40">
        <v>13.51563167572021</v>
      </c>
      <c r="AI41" s="40">
        <v>25.00082969665527</v>
      </c>
      <c r="AJ41" s="40">
        <v>0.29742488265037542</v>
      </c>
      <c r="AK41" s="40">
        <v>60.197383880615227</v>
      </c>
      <c r="AL41" s="40">
        <v>19.202249526977539</v>
      </c>
      <c r="AM41" s="40">
        <v>52.546527862548828</v>
      </c>
      <c r="AN41" s="40">
        <v>73.559776306152344</v>
      </c>
      <c r="AO41" s="40">
        <v>6.679999828338623</v>
      </c>
      <c r="AP41" s="40">
        <v>26.941865921020511</v>
      </c>
      <c r="AQ41" s="40">
        <v>11.371284484863279</v>
      </c>
      <c r="AR41" s="40">
        <v>46.470428466796882</v>
      </c>
      <c r="AS41" s="40">
        <v>174.75093078613281</v>
      </c>
      <c r="AT41" s="40">
        <v>49.503047943115227</v>
      </c>
      <c r="AU41" s="40">
        <v>19.515645980834961</v>
      </c>
      <c r="AV41" s="40">
        <v>24.570148468017582</v>
      </c>
      <c r="AW41" s="40">
        <v>45.998466491699219</v>
      </c>
      <c r="AX41" s="40">
        <v>53.031162261962891</v>
      </c>
      <c r="AY41" s="40">
        <v>19.261140823364261</v>
      </c>
      <c r="AZ41" s="40">
        <v>1569.18994140625</v>
      </c>
    </row>
    <row r="42" spans="1:52" ht="16" x14ac:dyDescent="0.2">
      <c r="A42" s="41">
        <v>41365</v>
      </c>
      <c r="B42" s="42">
        <v>13.438863754272459</v>
      </c>
      <c r="C42" s="42">
        <v>28.51901817321777</v>
      </c>
      <c r="D42" s="42">
        <v>45.080001831054688</v>
      </c>
      <c r="E42" s="42">
        <v>11.840000152587891</v>
      </c>
      <c r="F42" s="42">
        <v>72.017036437988281</v>
      </c>
      <c r="G42" s="42">
        <v>12.690500259399411</v>
      </c>
      <c r="H42" s="42">
        <v>60.990665435791023</v>
      </c>
      <c r="I42" s="42">
        <v>14.11181163787842</v>
      </c>
      <c r="J42" s="42">
        <v>85.346389770507812</v>
      </c>
      <c r="K42" s="42">
        <v>14.04214477539062</v>
      </c>
      <c r="L42" s="42">
        <v>69.736412048339844</v>
      </c>
      <c r="M42" s="42">
        <v>55.388614654541023</v>
      </c>
      <c r="N42" s="42">
        <v>73.227020263671875</v>
      </c>
      <c r="O42" s="42">
        <v>38.926723480224609</v>
      </c>
      <c r="P42" s="42">
        <v>42.897621154785163</v>
      </c>
      <c r="Q42" s="42">
        <v>5.190000057220459</v>
      </c>
      <c r="R42" s="42">
        <v>76.430000305175781</v>
      </c>
      <c r="S42" s="42">
        <v>55.410129547119141</v>
      </c>
      <c r="T42" s="42">
        <v>85.834884643554688</v>
      </c>
      <c r="U42" s="42">
        <v>20.44038200378418</v>
      </c>
      <c r="V42" s="42">
        <v>113.1904754638672</v>
      </c>
      <c r="W42" s="42">
        <v>53.474456787109382</v>
      </c>
      <c r="X42" s="42">
        <v>22.14999961853027</v>
      </c>
      <c r="Y42" s="42">
        <v>58.788524627685547</v>
      </c>
      <c r="Z42" s="42">
        <v>34.45343017578125</v>
      </c>
      <c r="AA42" s="42">
        <v>28.06476974487305</v>
      </c>
      <c r="AB42" s="42">
        <v>65.354286193847656</v>
      </c>
      <c r="AC42" s="42">
        <v>71.630943298339844</v>
      </c>
      <c r="AD42" s="42">
        <v>33.744865417480469</v>
      </c>
      <c r="AE42" s="42">
        <v>15.93344020843506</v>
      </c>
      <c r="AF42" s="42">
        <v>26.70728874206543</v>
      </c>
      <c r="AG42" s="42">
        <v>9.1857929229736328</v>
      </c>
      <c r="AH42" s="42">
        <v>14.272486686706539</v>
      </c>
      <c r="AI42" s="42">
        <v>25.535099029541019</v>
      </c>
      <c r="AJ42" s="42">
        <v>0.31921598315238953</v>
      </c>
      <c r="AK42" s="42">
        <v>63.605617523193359</v>
      </c>
      <c r="AL42" s="42">
        <v>20.83438873291016</v>
      </c>
      <c r="AM42" s="42">
        <v>52.733383178710938</v>
      </c>
      <c r="AN42" s="42">
        <v>71.142059326171875</v>
      </c>
      <c r="AO42" s="42">
        <v>7.8899998664855957</v>
      </c>
      <c r="AP42" s="42">
        <v>28.26942253112793</v>
      </c>
      <c r="AQ42" s="42">
        <v>11.191647529602051</v>
      </c>
      <c r="AR42" s="42">
        <v>42.763359069824219</v>
      </c>
      <c r="AS42" s="42">
        <v>213.12873840332031</v>
      </c>
      <c r="AT42" s="42">
        <v>53.671054840087891</v>
      </c>
      <c r="AU42" s="42">
        <v>20.35888671875</v>
      </c>
      <c r="AV42" s="42">
        <v>25.271635055541989</v>
      </c>
      <c r="AW42" s="42">
        <v>48.185420989990227</v>
      </c>
      <c r="AX42" s="42">
        <v>55.097888946533203</v>
      </c>
      <c r="AY42" s="42">
        <v>20.005020141601559</v>
      </c>
      <c r="AZ42" s="42">
        <v>1597.569946289062</v>
      </c>
    </row>
    <row r="43" spans="1:52" ht="16" x14ac:dyDescent="0.2">
      <c r="A43" s="39">
        <v>41395</v>
      </c>
      <c r="B43" s="40">
        <v>13.740153312683111</v>
      </c>
      <c r="C43" s="40">
        <v>28.32590293884277</v>
      </c>
      <c r="D43" s="40">
        <v>42.909999847412109</v>
      </c>
      <c r="E43" s="40">
        <v>17.989999771118161</v>
      </c>
      <c r="F43" s="40">
        <v>69.780715942382812</v>
      </c>
      <c r="G43" s="40">
        <v>13.460000038146971</v>
      </c>
      <c r="H43" s="40">
        <v>61.804668426513672</v>
      </c>
      <c r="I43" s="40">
        <v>13.725704193115231</v>
      </c>
      <c r="J43" s="40">
        <v>86.531776428222656</v>
      </c>
      <c r="K43" s="40">
        <v>16.190082550048832</v>
      </c>
      <c r="L43" s="40">
        <v>70.72515869140625</v>
      </c>
      <c r="M43" s="40">
        <v>55.600166320800781</v>
      </c>
      <c r="N43" s="40">
        <v>73.097190856933594</v>
      </c>
      <c r="O43" s="40">
        <v>40.576133728027337</v>
      </c>
      <c r="P43" s="40">
        <v>45.708835601806641</v>
      </c>
      <c r="Q43" s="40">
        <v>4.8400001525878906</v>
      </c>
      <c r="R43" s="40">
        <v>83.209999084472656</v>
      </c>
      <c r="S43" s="40">
        <v>57.762599945068359</v>
      </c>
      <c r="T43" s="40">
        <v>89.801239013671875</v>
      </c>
      <c r="U43" s="40">
        <v>21.596792221069339</v>
      </c>
      <c r="V43" s="40">
        <v>125.9936141967773</v>
      </c>
      <c r="W43" s="40">
        <v>57.345600128173828</v>
      </c>
      <c r="X43" s="40">
        <v>22.170000076293949</v>
      </c>
      <c r="Y43" s="40">
        <v>58.500743865966797</v>
      </c>
      <c r="Z43" s="40">
        <v>38.376094818115227</v>
      </c>
      <c r="AA43" s="40">
        <v>26.51334190368652</v>
      </c>
      <c r="AB43" s="40">
        <v>69.2203369140625</v>
      </c>
      <c r="AC43" s="40">
        <v>68.25531005859375</v>
      </c>
      <c r="AD43" s="40">
        <v>36.875007629394531</v>
      </c>
      <c r="AE43" s="40">
        <v>18.630975723266602</v>
      </c>
      <c r="AF43" s="40">
        <v>28.357109069824219</v>
      </c>
      <c r="AG43" s="40">
        <v>11.389603614807131</v>
      </c>
      <c r="AH43" s="40">
        <v>13.27289867401123</v>
      </c>
      <c r="AI43" s="40">
        <v>27.467245101928711</v>
      </c>
      <c r="AJ43" s="40">
        <v>0.33714732527732849</v>
      </c>
      <c r="AK43" s="40">
        <v>65.894172668457031</v>
      </c>
      <c r="AL43" s="40">
        <v>18.311223983764648</v>
      </c>
      <c r="AM43" s="40">
        <v>52.726535797119141</v>
      </c>
      <c r="AN43" s="40">
        <v>80.51922607421875</v>
      </c>
      <c r="AO43" s="40">
        <v>7.630000114440918</v>
      </c>
      <c r="AP43" s="40">
        <v>27.157510757446289</v>
      </c>
      <c r="AQ43" s="40">
        <v>12.23748111724854</v>
      </c>
      <c r="AR43" s="40">
        <v>44.068477630615227</v>
      </c>
      <c r="AS43" s="40">
        <v>239.6188049316406</v>
      </c>
      <c r="AT43" s="40">
        <v>55.402839660644531</v>
      </c>
      <c r="AU43" s="40">
        <v>21.18764495849609</v>
      </c>
      <c r="AV43" s="40">
        <v>25.062261581420898</v>
      </c>
      <c r="AW43" s="40">
        <v>50.356292724609382</v>
      </c>
      <c r="AX43" s="40">
        <v>57.830955505371087</v>
      </c>
      <c r="AY43" s="40">
        <v>19.3792610168457</v>
      </c>
      <c r="AZ43" s="40">
        <v>1630.739990234375</v>
      </c>
    </row>
    <row r="44" spans="1:52" ht="16" x14ac:dyDescent="0.2">
      <c r="A44" s="41">
        <v>41426</v>
      </c>
      <c r="B44" s="42">
        <v>12.11478900909424</v>
      </c>
      <c r="C44" s="42">
        <v>26.943210601806641</v>
      </c>
      <c r="D44" s="42">
        <v>45.560001373291023</v>
      </c>
      <c r="E44" s="42">
        <v>19.739999771118161</v>
      </c>
      <c r="F44" s="42">
        <v>68.482704162597656</v>
      </c>
      <c r="G44" s="42">
        <v>13.884499549865721</v>
      </c>
      <c r="H44" s="42">
        <v>59.42034912109375</v>
      </c>
      <c r="I44" s="42">
        <v>14.265580177307131</v>
      </c>
      <c r="J44" s="42">
        <v>87.273712158203125</v>
      </c>
      <c r="K44" s="42">
        <v>16.337751388549801</v>
      </c>
      <c r="L44" s="42">
        <v>68.184226989746094</v>
      </c>
      <c r="M44" s="42">
        <v>55.661865234375</v>
      </c>
      <c r="N44" s="42">
        <v>73.920890808105469</v>
      </c>
      <c r="O44" s="42">
        <v>38.514133453369141</v>
      </c>
      <c r="P44" s="42">
        <v>46.622303009033203</v>
      </c>
      <c r="Q44" s="42">
        <v>4.5399999618530273</v>
      </c>
      <c r="R44" s="42">
        <v>68.800003051757812</v>
      </c>
      <c r="S44" s="42">
        <v>58.684108734130859</v>
      </c>
      <c r="T44" s="42">
        <v>90.013862609863281</v>
      </c>
      <c r="U44" s="42">
        <v>21.823616027832031</v>
      </c>
      <c r="V44" s="42">
        <v>117.5748748779297</v>
      </c>
      <c r="W44" s="42">
        <v>56.757980346679688</v>
      </c>
      <c r="X44" s="42">
        <v>22</v>
      </c>
      <c r="Y44" s="42">
        <v>59.668266296386719</v>
      </c>
      <c r="Z44" s="42">
        <v>37.1107177734375</v>
      </c>
      <c r="AA44" s="42">
        <v>26.776723861694339</v>
      </c>
      <c r="AB44" s="42">
        <v>63.878623962402337</v>
      </c>
      <c r="AC44" s="42">
        <v>69.972824096679688</v>
      </c>
      <c r="AD44" s="42">
        <v>37.207565307617188</v>
      </c>
      <c r="AE44" s="42">
        <v>17.573543548583981</v>
      </c>
      <c r="AF44" s="42">
        <v>28.06459808349609</v>
      </c>
      <c r="AG44" s="42">
        <v>13.973715782165529</v>
      </c>
      <c r="AH44" s="42">
        <v>14.301456451416019</v>
      </c>
      <c r="AI44" s="42">
        <v>27.650215148925781</v>
      </c>
      <c r="AJ44" s="42">
        <v>0.32712841033935552</v>
      </c>
      <c r="AK44" s="42">
        <v>65.639602661132812</v>
      </c>
      <c r="AL44" s="42">
        <v>16.757568359375</v>
      </c>
      <c r="AM44" s="42">
        <v>52.884498596191413</v>
      </c>
      <c r="AN44" s="42">
        <v>77.000160217285156</v>
      </c>
      <c r="AO44" s="42">
        <v>8.0600004196166992</v>
      </c>
      <c r="AP44" s="42">
        <v>25.601482391357418</v>
      </c>
      <c r="AQ44" s="42">
        <v>14.737637519836429</v>
      </c>
      <c r="AR44" s="42">
        <v>42.644439697265618</v>
      </c>
      <c r="AS44" s="42">
        <v>222.7777099609375</v>
      </c>
      <c r="AT44" s="42">
        <v>51.896991729736328</v>
      </c>
      <c r="AU44" s="42">
        <v>20.957387924194339</v>
      </c>
      <c r="AV44" s="42">
        <v>24.322467803955082</v>
      </c>
      <c r="AW44" s="42">
        <v>52.879741668701172</v>
      </c>
      <c r="AX44" s="42">
        <v>57.703754425048828</v>
      </c>
      <c r="AY44" s="42">
        <v>19.288627624511719</v>
      </c>
      <c r="AZ44" s="42">
        <v>1606.280029296875</v>
      </c>
    </row>
    <row r="45" spans="1:52" ht="16" x14ac:dyDescent="0.2">
      <c r="A45" s="39">
        <v>41456</v>
      </c>
      <c r="B45" s="40">
        <v>13.82569789886475</v>
      </c>
      <c r="C45" s="40">
        <v>28.409490585327148</v>
      </c>
      <c r="D45" s="40">
        <v>47.279998779296882</v>
      </c>
      <c r="E45" s="40">
        <v>19.639999389648441</v>
      </c>
      <c r="F45" s="40">
        <v>75.167152404785156</v>
      </c>
      <c r="G45" s="40">
        <v>15.060999870300289</v>
      </c>
      <c r="H45" s="40">
        <v>60.139209747314453</v>
      </c>
      <c r="I45" s="40">
        <v>15.475687980651861</v>
      </c>
      <c r="J45" s="40">
        <v>92.680465698242188</v>
      </c>
      <c r="K45" s="40">
        <v>17.297605514526371</v>
      </c>
      <c r="L45" s="40">
        <v>72.534347534179688</v>
      </c>
      <c r="M45" s="40">
        <v>56.983989715576172</v>
      </c>
      <c r="N45" s="40">
        <v>79.951522827148438</v>
      </c>
      <c r="O45" s="40">
        <v>43.337234497070312</v>
      </c>
      <c r="P45" s="40">
        <v>51.578876495361328</v>
      </c>
      <c r="Q45" s="40">
        <v>5.059999942779541</v>
      </c>
      <c r="R45" s="40">
        <v>87.800003051757812</v>
      </c>
      <c r="S45" s="40">
        <v>64.392318725585938</v>
      </c>
      <c r="T45" s="40">
        <v>94.594131469726562</v>
      </c>
      <c r="U45" s="40">
        <v>22.006559371948239</v>
      </c>
      <c r="V45" s="40">
        <v>127.5094909667969</v>
      </c>
      <c r="W45" s="40">
        <v>57.900917053222663</v>
      </c>
      <c r="X45" s="40">
        <v>23.409999847412109</v>
      </c>
      <c r="Y45" s="40">
        <v>64.977668762207031</v>
      </c>
      <c r="Z45" s="40">
        <v>39.463191986083977</v>
      </c>
      <c r="AA45" s="40">
        <v>26.75668907165527</v>
      </c>
      <c r="AB45" s="40">
        <v>63.980884552001953</v>
      </c>
      <c r="AC45" s="40">
        <v>69.32257080078125</v>
      </c>
      <c r="AD45" s="40">
        <v>40.14886474609375</v>
      </c>
      <c r="AE45" s="40">
        <v>19.608711242675781</v>
      </c>
      <c r="AF45" s="40">
        <v>25.870771408081051</v>
      </c>
      <c r="AG45" s="40">
        <v>12.91081523895264</v>
      </c>
      <c r="AH45" s="40">
        <v>15.20187473297119</v>
      </c>
      <c r="AI45" s="40">
        <v>30.212301254272461</v>
      </c>
      <c r="AJ45" s="40">
        <v>0.33644834160804749</v>
      </c>
      <c r="AK45" s="40">
        <v>73.721824645996094</v>
      </c>
      <c r="AL45" s="40">
        <v>21.4793815612793</v>
      </c>
      <c r="AM45" s="40">
        <v>55.571311950683587</v>
      </c>
      <c r="AN45" s="40">
        <v>83.360328674316406</v>
      </c>
      <c r="AO45" s="40">
        <v>7.6500000953674316</v>
      </c>
      <c r="AP45" s="40">
        <v>26.03586387634277</v>
      </c>
      <c r="AQ45" s="40">
        <v>15.62352085113525</v>
      </c>
      <c r="AR45" s="40">
        <v>45.066707611083977</v>
      </c>
      <c r="AS45" s="40">
        <v>267.53533935546881</v>
      </c>
      <c r="AT45" s="40">
        <v>51.182888031005859</v>
      </c>
      <c r="AU45" s="40">
        <v>21.786308288574219</v>
      </c>
      <c r="AV45" s="40">
        <v>27.541641235351559</v>
      </c>
      <c r="AW45" s="40">
        <v>58.83154296875</v>
      </c>
      <c r="AX45" s="40">
        <v>59.315807342529297</v>
      </c>
      <c r="AY45" s="40">
        <v>20.181976318359379</v>
      </c>
      <c r="AZ45" s="40">
        <v>1685.72998046875</v>
      </c>
    </row>
    <row r="46" spans="1:52" ht="16" x14ac:dyDescent="0.2">
      <c r="A46" s="41">
        <v>41487</v>
      </c>
      <c r="B46" s="42">
        <v>14.98383140563965</v>
      </c>
      <c r="C46" s="42">
        <v>25.850078582763668</v>
      </c>
      <c r="D46" s="42">
        <v>45.75</v>
      </c>
      <c r="E46" s="42">
        <v>21.180000305175781</v>
      </c>
      <c r="F46" s="42">
        <v>75.949310302734375</v>
      </c>
      <c r="G46" s="42">
        <v>14.04899978637695</v>
      </c>
      <c r="H46" s="42">
        <v>59.870841979980469</v>
      </c>
      <c r="I46" s="42">
        <v>14.44923686981201</v>
      </c>
      <c r="J46" s="42">
        <v>88.529472351074219</v>
      </c>
      <c r="K46" s="42">
        <v>15.75643253326416</v>
      </c>
      <c r="L46" s="42">
        <v>69.961677551269531</v>
      </c>
      <c r="M46" s="42">
        <v>53.616962432861328</v>
      </c>
      <c r="N46" s="42">
        <v>79.265998840332031</v>
      </c>
      <c r="O46" s="42">
        <v>42.912986755371087</v>
      </c>
      <c r="P46" s="42">
        <v>55.677101135253913</v>
      </c>
      <c r="Q46" s="42">
        <v>5.0100002288818359</v>
      </c>
      <c r="R46" s="42">
        <v>83.379997253417969</v>
      </c>
      <c r="S46" s="42">
        <v>62.815361022949219</v>
      </c>
      <c r="T46" s="42">
        <v>89.819770812988281</v>
      </c>
      <c r="U46" s="42">
        <v>20.993923187255859</v>
      </c>
      <c r="V46" s="42">
        <v>118.64610290527339</v>
      </c>
      <c r="W46" s="42">
        <v>54.57470703125</v>
      </c>
      <c r="X46" s="42">
        <v>33.889999389648438</v>
      </c>
      <c r="Y46" s="42">
        <v>60.502918243408203</v>
      </c>
      <c r="Z46" s="42">
        <v>35.781002044677727</v>
      </c>
      <c r="AA46" s="42">
        <v>25.488283157348629</v>
      </c>
      <c r="AB46" s="42">
        <v>64.876884460449219</v>
      </c>
      <c r="AC46" s="42">
        <v>67.23211669921875</v>
      </c>
      <c r="AD46" s="42">
        <v>37.6123046875</v>
      </c>
      <c r="AE46" s="42">
        <v>18.563783645629879</v>
      </c>
      <c r="AF46" s="42">
        <v>27.329545974731449</v>
      </c>
      <c r="AG46" s="42">
        <v>13.232612609863279</v>
      </c>
      <c r="AH46" s="42">
        <v>14.22060966491699</v>
      </c>
      <c r="AI46" s="42">
        <v>30.520879745483398</v>
      </c>
      <c r="AJ46" s="42">
        <v>0.34540408849716192</v>
      </c>
      <c r="AK46" s="42">
        <v>70.72686767578125</v>
      </c>
      <c r="AL46" s="42">
        <v>21.017679214477539</v>
      </c>
      <c r="AM46" s="42">
        <v>53.903511047363281</v>
      </c>
      <c r="AN46" s="42">
        <v>81.024185180664062</v>
      </c>
      <c r="AO46" s="42">
        <v>7.2800002098083496</v>
      </c>
      <c r="AP46" s="42">
        <v>23.91824913024902</v>
      </c>
      <c r="AQ46" s="42">
        <v>12.78377532958984</v>
      </c>
      <c r="AR46" s="42">
        <v>46.511394500732422</v>
      </c>
      <c r="AS46" s="42">
        <v>240.04475402832031</v>
      </c>
      <c r="AT46" s="42">
        <v>50.807254791259773</v>
      </c>
      <c r="AU46" s="42">
        <v>22.132228851318359</v>
      </c>
      <c r="AV46" s="42">
        <v>26.852748870849609</v>
      </c>
      <c r="AW46" s="42">
        <v>57.935127258300781</v>
      </c>
      <c r="AX46" s="42">
        <v>57.723899841308587</v>
      </c>
      <c r="AY46" s="42">
        <v>19.012371063232418</v>
      </c>
      <c r="AZ46" s="42">
        <v>1632.969970703125</v>
      </c>
    </row>
    <row r="47" spans="1:52" ht="16" x14ac:dyDescent="0.2">
      <c r="A47" s="39">
        <v>41518</v>
      </c>
      <c r="B47" s="40">
        <v>14.661845207214361</v>
      </c>
      <c r="C47" s="40">
        <v>25.741495132446289</v>
      </c>
      <c r="D47" s="40">
        <v>51.939998626708977</v>
      </c>
      <c r="E47" s="40">
        <v>28.969999313354489</v>
      </c>
      <c r="F47" s="40">
        <v>78.026840209960938</v>
      </c>
      <c r="G47" s="40">
        <v>15.63199996948242</v>
      </c>
      <c r="H47" s="40">
        <v>60.494647979736328</v>
      </c>
      <c r="I47" s="40">
        <v>15.557224273681641</v>
      </c>
      <c r="J47" s="40">
        <v>91.140968322753906</v>
      </c>
      <c r="K47" s="40">
        <v>15.837544441223139</v>
      </c>
      <c r="L47" s="40">
        <v>70.583274841308594</v>
      </c>
      <c r="M47" s="40">
        <v>56.84295654296875</v>
      </c>
      <c r="N47" s="40">
        <v>85.901588439941406</v>
      </c>
      <c r="O47" s="40">
        <v>45.990890502929688</v>
      </c>
      <c r="P47" s="40">
        <v>60.012844085693359</v>
      </c>
      <c r="Q47" s="40">
        <v>5.820000171661377</v>
      </c>
      <c r="R47" s="40">
        <v>85.80999755859375</v>
      </c>
      <c r="S47" s="40">
        <v>66.037208557128906</v>
      </c>
      <c r="T47" s="40">
        <v>93.445137023925781</v>
      </c>
      <c r="U47" s="40">
        <v>21.713054656982418</v>
      </c>
      <c r="V47" s="40">
        <v>123.3878631591797</v>
      </c>
      <c r="W47" s="40">
        <v>55.863578796386719</v>
      </c>
      <c r="X47" s="40">
        <v>38.150001525878913</v>
      </c>
      <c r="Y47" s="40">
        <v>60.698970794677727</v>
      </c>
      <c r="Z47" s="40">
        <v>36.602409362792969</v>
      </c>
      <c r="AA47" s="40">
        <v>25.471925735473629</v>
      </c>
      <c r="AB47" s="40">
        <v>69.656028747558594</v>
      </c>
      <c r="AC47" s="40">
        <v>68.550262451171875</v>
      </c>
      <c r="AD47" s="40">
        <v>38.702522277832031</v>
      </c>
      <c r="AE47" s="40">
        <v>19.42135047912598</v>
      </c>
      <c r="AF47" s="40">
        <v>27.231355667114261</v>
      </c>
      <c r="AG47" s="40">
        <v>17.035646438598629</v>
      </c>
      <c r="AH47" s="40">
        <v>14.18521785736084</v>
      </c>
      <c r="AI47" s="40">
        <v>31.314397811889648</v>
      </c>
      <c r="AJ47" s="40">
        <v>0.36437195539474487</v>
      </c>
      <c r="AK47" s="40">
        <v>74.063575744628906</v>
      </c>
      <c r="AL47" s="40">
        <v>21.785821914672852</v>
      </c>
      <c r="AM47" s="40">
        <v>52.311786651611328</v>
      </c>
      <c r="AN47" s="40">
        <v>88.133583068847656</v>
      </c>
      <c r="AO47" s="40">
        <v>7.8400001525878906</v>
      </c>
      <c r="AP47" s="40">
        <v>25.72604942321777</v>
      </c>
      <c r="AQ47" s="40">
        <v>12.71733379364014</v>
      </c>
      <c r="AR47" s="40">
        <v>47.241188049316413</v>
      </c>
      <c r="AS47" s="40">
        <v>309.94512939453119</v>
      </c>
      <c r="AT47" s="40">
        <v>53.689472198486328</v>
      </c>
      <c r="AU47" s="40">
        <v>23.672922134399411</v>
      </c>
      <c r="AV47" s="40">
        <v>28.321905136108398</v>
      </c>
      <c r="AW47" s="40">
        <v>58.047943115234382</v>
      </c>
      <c r="AX47" s="40">
        <v>58.400619506835938</v>
      </c>
      <c r="AY47" s="40">
        <v>19.267684936523441</v>
      </c>
      <c r="AZ47" s="40">
        <v>1681.550048828125</v>
      </c>
    </row>
    <row r="48" spans="1:52" ht="16" x14ac:dyDescent="0.2">
      <c r="A48" s="41">
        <v>41548</v>
      </c>
      <c r="B48" s="42">
        <v>16.07497596740723</v>
      </c>
      <c r="C48" s="42">
        <v>28.467592239379879</v>
      </c>
      <c r="D48" s="42">
        <v>54.220001220703118</v>
      </c>
      <c r="E48" s="42">
        <v>25.85000038146973</v>
      </c>
      <c r="F48" s="42">
        <v>80.968879699707031</v>
      </c>
      <c r="G48" s="42">
        <v>18.20149993896484</v>
      </c>
      <c r="H48" s="42">
        <v>60.889129638671882</v>
      </c>
      <c r="I48" s="42">
        <v>16.412321090698239</v>
      </c>
      <c r="J48" s="42">
        <v>93.3804931640625</v>
      </c>
      <c r="K48" s="42">
        <v>15.360916137695311</v>
      </c>
      <c r="L48" s="42">
        <v>69.688644409179688</v>
      </c>
      <c r="M48" s="42">
        <v>60.456802368164062</v>
      </c>
      <c r="N48" s="42">
        <v>92.198944091796875</v>
      </c>
      <c r="O48" s="42">
        <v>47.604484558105469</v>
      </c>
      <c r="P48" s="42">
        <v>63.311779022216797</v>
      </c>
      <c r="Q48" s="42">
        <v>4.929999828338623</v>
      </c>
      <c r="R48" s="42">
        <v>81.540000915527344</v>
      </c>
      <c r="S48" s="42">
        <v>65.799362182617188</v>
      </c>
      <c r="T48" s="42">
        <v>102.24595642089839</v>
      </c>
      <c r="U48" s="42">
        <v>25.54719352722168</v>
      </c>
      <c r="V48" s="42">
        <v>125.45465087890619</v>
      </c>
      <c r="W48" s="42">
        <v>57.366020202636719</v>
      </c>
      <c r="X48" s="42">
        <v>39</v>
      </c>
      <c r="Y48" s="42">
        <v>64.84405517578125</v>
      </c>
      <c r="Z48" s="42">
        <v>36.765071868896477</v>
      </c>
      <c r="AA48" s="42">
        <v>26.608333587646481</v>
      </c>
      <c r="AB48" s="42">
        <v>64.868339538574219</v>
      </c>
      <c r="AC48" s="42">
        <v>68.771125793457031</v>
      </c>
      <c r="AD48" s="42">
        <v>41.938175201416023</v>
      </c>
      <c r="AE48" s="42">
        <v>20.739887237548832</v>
      </c>
      <c r="AF48" s="42">
        <v>28.97422981262207</v>
      </c>
      <c r="AG48" s="42">
        <v>17.24042892456055</v>
      </c>
      <c r="AH48" s="42">
        <v>14.99747276306152</v>
      </c>
      <c r="AI48" s="42">
        <v>28.621213912963871</v>
      </c>
      <c r="AJ48" s="42">
        <v>0.35570758581161499</v>
      </c>
      <c r="AK48" s="42">
        <v>78.293701171875</v>
      </c>
      <c r="AL48" s="42">
        <v>23.24052810668945</v>
      </c>
      <c r="AM48" s="42">
        <v>56.31964111328125</v>
      </c>
      <c r="AN48" s="42">
        <v>94.618743896484375</v>
      </c>
      <c r="AO48" s="42">
        <v>8.3999996185302734</v>
      </c>
      <c r="AP48" s="42">
        <v>27.319406509399411</v>
      </c>
      <c r="AQ48" s="42">
        <v>13.3768253326416</v>
      </c>
      <c r="AR48" s="42">
        <v>48.763988494873047</v>
      </c>
      <c r="AS48" s="42">
        <v>284.911376953125</v>
      </c>
      <c r="AT48" s="42">
        <v>55.404666900634773</v>
      </c>
      <c r="AU48" s="42">
        <v>25.520076751708981</v>
      </c>
      <c r="AV48" s="42">
        <v>29.805255889892582</v>
      </c>
      <c r="AW48" s="42">
        <v>55.3323974609375</v>
      </c>
      <c r="AX48" s="42">
        <v>56.919364929199219</v>
      </c>
      <c r="AY48" s="42">
        <v>19.994514465332031</v>
      </c>
      <c r="AZ48" s="42">
        <v>1756.5400390625</v>
      </c>
    </row>
    <row r="49" spans="1:52" ht="16" x14ac:dyDescent="0.2">
      <c r="A49" s="39">
        <v>41579</v>
      </c>
      <c r="B49" s="40">
        <v>17.201078414916989</v>
      </c>
      <c r="C49" s="40">
        <v>29.744939804077148</v>
      </c>
      <c r="D49" s="40">
        <v>56.779998779296882</v>
      </c>
      <c r="E49" s="40">
        <v>29</v>
      </c>
      <c r="F49" s="40">
        <v>79.864433288574219</v>
      </c>
      <c r="G49" s="40">
        <v>19.680999755859379</v>
      </c>
      <c r="H49" s="40">
        <v>61.794834136962891</v>
      </c>
      <c r="I49" s="40">
        <v>17.195011138916019</v>
      </c>
      <c r="J49" s="40">
        <v>99.512237548828125</v>
      </c>
      <c r="K49" s="40">
        <v>14.468954086303709</v>
      </c>
      <c r="L49" s="40">
        <v>71.72662353515625</v>
      </c>
      <c r="M49" s="40">
        <v>62.175579071044922</v>
      </c>
      <c r="N49" s="40">
        <v>93.216629028320312</v>
      </c>
      <c r="O49" s="40">
        <v>47.929553985595703</v>
      </c>
      <c r="P49" s="40">
        <v>58.556301116943359</v>
      </c>
      <c r="Q49" s="40">
        <v>5.8299999237060547</v>
      </c>
      <c r="R49" s="40">
        <v>82.260002136230469</v>
      </c>
      <c r="S49" s="40">
        <v>69.619842529296875</v>
      </c>
      <c r="T49" s="40">
        <v>104.2799072265625</v>
      </c>
      <c r="U49" s="40">
        <v>26.266324996948239</v>
      </c>
      <c r="V49" s="40">
        <v>132.18888854980469</v>
      </c>
      <c r="W49" s="40">
        <v>59.41351318359375</v>
      </c>
      <c r="X49" s="40">
        <v>46.599998474121087</v>
      </c>
      <c r="Y49" s="40">
        <v>66.742164611816406</v>
      </c>
      <c r="Z49" s="40">
        <v>40.816791534423828</v>
      </c>
      <c r="AA49" s="40">
        <v>27.214567184448239</v>
      </c>
      <c r="AB49" s="40">
        <v>65.301589965820312</v>
      </c>
      <c r="AC49" s="40">
        <v>69.953750610351562</v>
      </c>
      <c r="AD49" s="40">
        <v>41.879722595214837</v>
      </c>
      <c r="AE49" s="40">
        <v>22.595146179199219</v>
      </c>
      <c r="AF49" s="40">
        <v>31.436483383178711</v>
      </c>
      <c r="AG49" s="40">
        <v>20.57540130615234</v>
      </c>
      <c r="AH49" s="40">
        <v>15.084793090820311</v>
      </c>
      <c r="AI49" s="40">
        <v>30.420648574829102</v>
      </c>
      <c r="AJ49" s="40">
        <v>0.36728698015213013</v>
      </c>
      <c r="AK49" s="40">
        <v>70.572959899902344</v>
      </c>
      <c r="AL49" s="40">
        <v>23.886323928833011</v>
      </c>
      <c r="AM49" s="40">
        <v>58.73980712890625</v>
      </c>
      <c r="AN49" s="40">
        <v>95.898887634277344</v>
      </c>
      <c r="AO49" s="40">
        <v>8.6400003433227539</v>
      </c>
      <c r="AP49" s="40">
        <v>25.938041687011719</v>
      </c>
      <c r="AQ49" s="40">
        <v>13.29315757751465</v>
      </c>
      <c r="AR49" s="40">
        <v>51.880653381347663</v>
      </c>
      <c r="AS49" s="40">
        <v>291.11279296875</v>
      </c>
      <c r="AT49" s="40">
        <v>54.086551666259773</v>
      </c>
      <c r="AU49" s="40">
        <v>26.45966720581055</v>
      </c>
      <c r="AV49" s="40">
        <v>30.449655532836911</v>
      </c>
      <c r="AW49" s="40">
        <v>60.374404907226562</v>
      </c>
      <c r="AX49" s="40">
        <v>61.216495513916023</v>
      </c>
      <c r="AY49" s="40">
        <v>21.104310989379879</v>
      </c>
      <c r="AZ49" s="40">
        <v>1805.81005859375</v>
      </c>
    </row>
    <row r="50" spans="1:52" ht="16" x14ac:dyDescent="0.2">
      <c r="A50" s="41">
        <v>41609</v>
      </c>
      <c r="B50" s="42">
        <v>17.354188919067379</v>
      </c>
      <c r="C50" s="42">
        <v>29.853977203369141</v>
      </c>
      <c r="D50" s="42">
        <v>59.880001068115227</v>
      </c>
      <c r="E50" s="42">
        <v>22.45000076293945</v>
      </c>
      <c r="F50" s="42">
        <v>79.864433288574219</v>
      </c>
      <c r="G50" s="42">
        <v>19.93950080871582</v>
      </c>
      <c r="H50" s="42">
        <v>66.330863952636719</v>
      </c>
      <c r="I50" s="42">
        <v>17.98681640625</v>
      </c>
      <c r="J50" s="42">
        <v>94.426742553710938</v>
      </c>
      <c r="K50" s="42">
        <v>15.27240562438965</v>
      </c>
      <c r="L50" s="42">
        <v>73.173576354980469</v>
      </c>
      <c r="M50" s="42">
        <v>68.172080993652344</v>
      </c>
      <c r="N50" s="42">
        <v>90.9373779296875</v>
      </c>
      <c r="O50" s="42">
        <v>50.211906433105469</v>
      </c>
      <c r="P50" s="42">
        <v>59.564205169677727</v>
      </c>
      <c r="Q50" s="42">
        <v>6.130000114440918</v>
      </c>
      <c r="R50" s="42">
        <v>90.860000610351562</v>
      </c>
      <c r="S50" s="42">
        <v>72.574455261230469</v>
      </c>
      <c r="T50" s="42">
        <v>110.52573394775391</v>
      </c>
      <c r="U50" s="42">
        <v>27.781435012817379</v>
      </c>
      <c r="V50" s="42">
        <v>138.69892883300781</v>
      </c>
      <c r="W50" s="42">
        <v>60.941390991210938</v>
      </c>
      <c r="X50" s="42">
        <v>50.630001068115227</v>
      </c>
      <c r="Y50" s="42">
        <v>64.577598571777344</v>
      </c>
      <c r="Z50" s="42">
        <v>41.715579986572273</v>
      </c>
      <c r="AA50" s="42">
        <v>27.97297477722168</v>
      </c>
      <c r="AB50" s="42">
        <v>70.738380432128906</v>
      </c>
      <c r="AC50" s="42">
        <v>69.709487915039062</v>
      </c>
      <c r="AD50" s="42">
        <v>42.136505126953118</v>
      </c>
      <c r="AE50" s="42">
        <v>22.638456344604489</v>
      </c>
      <c r="AF50" s="42">
        <v>30.842889785766602</v>
      </c>
      <c r="AG50" s="42">
        <v>21.209238052368161</v>
      </c>
      <c r="AH50" s="42">
        <v>15.268473625183111</v>
      </c>
      <c r="AI50" s="42">
        <v>30.33952713012695</v>
      </c>
      <c r="AJ50" s="42">
        <v>0.37717559933662409</v>
      </c>
      <c r="AK50" s="42">
        <v>72.11810302734375</v>
      </c>
      <c r="AL50" s="42">
        <v>25.576919555664059</v>
      </c>
      <c r="AM50" s="42">
        <v>56.77996826171875</v>
      </c>
      <c r="AN50" s="42">
        <v>104.68798828125</v>
      </c>
      <c r="AO50" s="42">
        <v>9.0299997329711914</v>
      </c>
      <c r="AP50" s="42">
        <v>25.464365005493161</v>
      </c>
      <c r="AQ50" s="42">
        <v>13.98709869384766</v>
      </c>
      <c r="AR50" s="42">
        <v>52.353061676025391</v>
      </c>
      <c r="AS50" s="42">
        <v>272.66690063476562</v>
      </c>
      <c r="AT50" s="42">
        <v>54.225452423095703</v>
      </c>
      <c r="AU50" s="42">
        <v>26.817338943481449</v>
      </c>
      <c r="AV50" s="42">
        <v>31.094053268432621</v>
      </c>
      <c r="AW50" s="42">
        <v>61.271785736083977</v>
      </c>
      <c r="AX50" s="42">
        <v>63.468093872070312</v>
      </c>
      <c r="AY50" s="42">
        <v>20.619245529174801</v>
      </c>
      <c r="AZ50" s="42">
        <v>1848.359985351562</v>
      </c>
    </row>
    <row r="51" spans="1:52" ht="16" x14ac:dyDescent="0.2">
      <c r="A51" s="39">
        <v>41640</v>
      </c>
      <c r="B51" s="40">
        <v>15.48520088195801</v>
      </c>
      <c r="C51" s="40">
        <v>28.712900161743161</v>
      </c>
      <c r="D51" s="40">
        <v>59.189998626708977</v>
      </c>
      <c r="E51" s="40">
        <v>23.639999389648441</v>
      </c>
      <c r="F51" s="40">
        <v>83.273750305175781</v>
      </c>
      <c r="G51" s="40">
        <v>17.934499740600589</v>
      </c>
      <c r="H51" s="40">
        <v>69.043510437011719</v>
      </c>
      <c r="I51" s="40">
        <v>18.84512901306152</v>
      </c>
      <c r="J51" s="40">
        <v>89.142929077148438</v>
      </c>
      <c r="K51" s="40">
        <v>15.032270431518549</v>
      </c>
      <c r="L51" s="40">
        <v>65.394020080566406</v>
      </c>
      <c r="M51" s="40">
        <v>64.790267944335938</v>
      </c>
      <c r="N51" s="40">
        <v>87.684364318847656</v>
      </c>
      <c r="O51" s="40">
        <v>47.178298950195312</v>
      </c>
      <c r="P51" s="40">
        <v>58.706947326660163</v>
      </c>
      <c r="Q51" s="40">
        <v>6.880000114440918</v>
      </c>
      <c r="R51" s="40">
        <v>107.01999664306641</v>
      </c>
      <c r="S51" s="40">
        <v>77.401138305664062</v>
      </c>
      <c r="T51" s="40">
        <v>99.090713500976562</v>
      </c>
      <c r="U51" s="40">
        <v>29.275228500366211</v>
      </c>
      <c r="V51" s="40">
        <v>128.41740417480469</v>
      </c>
      <c r="W51" s="40">
        <v>56.878150939941413</v>
      </c>
      <c r="X51" s="40">
        <v>65.519996643066406</v>
      </c>
      <c r="Y51" s="40">
        <v>62.37774658203125</v>
      </c>
      <c r="Z51" s="40">
        <v>39.748271942138672</v>
      </c>
      <c r="AA51" s="40">
        <v>25.609724044799801</v>
      </c>
      <c r="AB51" s="40">
        <v>72.661811828613281</v>
      </c>
      <c r="AC51" s="40">
        <v>67.654777526855469</v>
      </c>
      <c r="AD51" s="40">
        <v>41.527122497558587</v>
      </c>
      <c r="AE51" s="40">
        <v>21.338373184204102</v>
      </c>
      <c r="AF51" s="40">
        <v>31.197393417358398</v>
      </c>
      <c r="AG51" s="40">
        <v>22.4671630859375</v>
      </c>
      <c r="AH51" s="40">
        <v>16.393720626831051</v>
      </c>
      <c r="AI51" s="40">
        <v>31.341585159301761</v>
      </c>
      <c r="AJ51" s="40">
        <v>0.36964151263237</v>
      </c>
      <c r="AK51" s="40">
        <v>62.307926177978523</v>
      </c>
      <c r="AL51" s="40">
        <v>28.172454833984379</v>
      </c>
      <c r="AM51" s="40">
        <v>53.843429565429688</v>
      </c>
      <c r="AN51" s="40">
        <v>92.261161804199219</v>
      </c>
      <c r="AO51" s="40">
        <v>8.3000001907348633</v>
      </c>
      <c r="AP51" s="40">
        <v>26.711723327636719</v>
      </c>
      <c r="AQ51" s="40">
        <v>13.27346992492676</v>
      </c>
      <c r="AR51" s="40">
        <v>52.331893920898438</v>
      </c>
      <c r="AS51" s="40">
        <v>285.89208984375</v>
      </c>
      <c r="AT51" s="40">
        <v>54.154525756835938</v>
      </c>
      <c r="AU51" s="40">
        <v>24.136867523193359</v>
      </c>
      <c r="AV51" s="40">
        <v>30.236215591430661</v>
      </c>
      <c r="AW51" s="40">
        <v>58.814399719238281</v>
      </c>
      <c r="AX51" s="40">
        <v>65.825485229492188</v>
      </c>
      <c r="AY51" s="40">
        <v>19.56850433349609</v>
      </c>
      <c r="AZ51" s="40">
        <v>1782.589965820312</v>
      </c>
    </row>
    <row r="52" spans="1:52" ht="16" x14ac:dyDescent="0.2">
      <c r="A52" s="41">
        <v>41671</v>
      </c>
      <c r="B52" s="42">
        <v>16.37577056884766</v>
      </c>
      <c r="C52" s="42">
        <v>31.156557083129879</v>
      </c>
      <c r="D52" s="42">
        <v>68.629997253417969</v>
      </c>
      <c r="E52" s="42">
        <v>28.760000228881839</v>
      </c>
      <c r="F52" s="42">
        <v>87.265632629394531</v>
      </c>
      <c r="G52" s="42">
        <v>18.104999542236332</v>
      </c>
      <c r="H52" s="42">
        <v>71.293281555175781</v>
      </c>
      <c r="I52" s="42">
        <v>17.889900207519531</v>
      </c>
      <c r="J52" s="42">
        <v>92.915977478027344</v>
      </c>
      <c r="K52" s="42">
        <v>14.956802368164061</v>
      </c>
      <c r="L52" s="42">
        <v>68.161613464355469</v>
      </c>
      <c r="M52" s="42">
        <v>72.107139587402344</v>
      </c>
      <c r="N52" s="42">
        <v>93.972419738769531</v>
      </c>
      <c r="O52" s="42">
        <v>47.002960205078118</v>
      </c>
      <c r="P52" s="42">
        <v>67.297691345214844</v>
      </c>
      <c r="Q52" s="42">
        <v>7.059999942779541</v>
      </c>
      <c r="R52" s="42">
        <v>112.3399963378906</v>
      </c>
      <c r="S52" s="42">
        <v>83.688888549804688</v>
      </c>
      <c r="T52" s="42">
        <v>101.30882263183589</v>
      </c>
      <c r="U52" s="42">
        <v>30.134920120239261</v>
      </c>
      <c r="V52" s="42">
        <v>130.68016052246091</v>
      </c>
      <c r="W52" s="42">
        <v>60.711978912353523</v>
      </c>
      <c r="X52" s="42">
        <v>64.260002136230469</v>
      </c>
      <c r="Y52" s="42">
        <v>65.418624877929688</v>
      </c>
      <c r="Z52" s="42">
        <v>40.796558380126953</v>
      </c>
      <c r="AA52" s="42">
        <v>25.86704254150391</v>
      </c>
      <c r="AB52" s="42">
        <v>72.756431579589844</v>
      </c>
      <c r="AC52" s="42">
        <v>68.94122314453125</v>
      </c>
      <c r="AD52" s="42">
        <v>43.509494781494141</v>
      </c>
      <c r="AE52" s="42">
        <v>22.271152496337891</v>
      </c>
      <c r="AF52" s="42">
        <v>31.82173919677734</v>
      </c>
      <c r="AG52" s="42">
        <v>23.588567733764648</v>
      </c>
      <c r="AH52" s="42">
        <v>16.427385330200199</v>
      </c>
      <c r="AI52" s="42">
        <v>29.91291618347168</v>
      </c>
      <c r="AJ52" s="42">
        <v>0.43469342589378362</v>
      </c>
      <c r="AK52" s="42">
        <v>65.649116516113281</v>
      </c>
      <c r="AL52" s="42">
        <v>27.97415733337402</v>
      </c>
      <c r="AM52" s="42">
        <v>55.277023315429688</v>
      </c>
      <c r="AN52" s="42">
        <v>98.524215698242188</v>
      </c>
      <c r="AO52" s="42">
        <v>8.6999998092651367</v>
      </c>
      <c r="AP52" s="42">
        <v>28.386384963989261</v>
      </c>
      <c r="AQ52" s="42">
        <v>13.994480133056641</v>
      </c>
      <c r="AR52" s="42">
        <v>53.086330413818359</v>
      </c>
      <c r="AS52" s="42">
        <v>329.39163208007812</v>
      </c>
      <c r="AT52" s="42">
        <v>59.407707214355469</v>
      </c>
      <c r="AU52" s="42">
        <v>25.925563812255859</v>
      </c>
      <c r="AV52" s="42">
        <v>32.061794281005859</v>
      </c>
      <c r="AW52" s="42">
        <v>62.874778747558587</v>
      </c>
      <c r="AX52" s="42">
        <v>68.493896484375</v>
      </c>
      <c r="AY52" s="42">
        <v>19.5737419128418</v>
      </c>
      <c r="AZ52" s="42">
        <v>1859.449951171875</v>
      </c>
    </row>
    <row r="53" spans="1:52" ht="16" x14ac:dyDescent="0.2">
      <c r="A53" s="39">
        <v>41699</v>
      </c>
      <c r="B53" s="40">
        <v>16.702522277832031</v>
      </c>
      <c r="C53" s="40">
        <v>30.161869049072269</v>
      </c>
      <c r="D53" s="40">
        <v>65.739997863769531</v>
      </c>
      <c r="E53" s="40">
        <v>23.04999923706055</v>
      </c>
      <c r="F53" s="40">
        <v>86.787162780761719</v>
      </c>
      <c r="G53" s="40">
        <v>16.818500518798832</v>
      </c>
      <c r="H53" s="40">
        <v>73.057769775390625</v>
      </c>
      <c r="I53" s="40">
        <v>17.397821426391602</v>
      </c>
      <c r="J53" s="40">
        <v>88.842926025390625</v>
      </c>
      <c r="K53" s="40">
        <v>15.38218402862549</v>
      </c>
      <c r="L53" s="40">
        <v>70.2774658203125</v>
      </c>
      <c r="M53" s="40">
        <v>71.446830749511719</v>
      </c>
      <c r="N53" s="40">
        <v>94.418052673339844</v>
      </c>
      <c r="O53" s="40">
        <v>48.112144470214837</v>
      </c>
      <c r="P53" s="40">
        <v>69.695869445800781</v>
      </c>
      <c r="Q53" s="40">
        <v>3.5399999618530269</v>
      </c>
      <c r="R53" s="40">
        <v>106.629997253418</v>
      </c>
      <c r="S53" s="40">
        <v>83.215202331542969</v>
      </c>
      <c r="T53" s="40">
        <v>102.9794235229492</v>
      </c>
      <c r="U53" s="40">
        <v>27.627738952636719</v>
      </c>
      <c r="V53" s="40">
        <v>128.6389465332031</v>
      </c>
      <c r="W53" s="40">
        <v>58.902496337890618</v>
      </c>
      <c r="X53" s="40">
        <v>53.520000457763672</v>
      </c>
      <c r="Y53" s="40">
        <v>69.757637023925781</v>
      </c>
      <c r="Z53" s="40">
        <v>43.589557647705078</v>
      </c>
      <c r="AA53" s="40">
        <v>26.385953903198239</v>
      </c>
      <c r="AB53" s="40">
        <v>75.602912902832031</v>
      </c>
      <c r="AC53" s="40">
        <v>71.027923583984375</v>
      </c>
      <c r="AD53" s="40">
        <v>45.183506011962891</v>
      </c>
      <c r="AE53" s="40">
        <v>22.538698196411129</v>
      </c>
      <c r="AF53" s="40">
        <v>34.047840118408203</v>
      </c>
      <c r="AG53" s="40">
        <v>23.071746826171879</v>
      </c>
      <c r="AH53" s="40">
        <v>17.187736511230469</v>
      </c>
      <c r="AI53" s="40">
        <v>27.314691543579102</v>
      </c>
      <c r="AJ53" s="40">
        <v>0.42357784509658808</v>
      </c>
      <c r="AK53" s="40">
        <v>65.905914306640625</v>
      </c>
      <c r="AL53" s="40">
        <v>28.026178359985352</v>
      </c>
      <c r="AM53" s="40">
        <v>56.640293121337891</v>
      </c>
      <c r="AN53" s="40">
        <v>97.837692260742188</v>
      </c>
      <c r="AO53" s="40">
        <v>8.5299997329711914</v>
      </c>
      <c r="AP53" s="40">
        <v>28.367343902587891</v>
      </c>
      <c r="AQ53" s="40">
        <v>13.721333503723139</v>
      </c>
      <c r="AR53" s="40">
        <v>55.863208770751953</v>
      </c>
      <c r="AS53" s="40">
        <v>297.47283935546881</v>
      </c>
      <c r="AT53" s="40">
        <v>58.415000915527337</v>
      </c>
      <c r="AU53" s="40">
        <v>25.58388710021973</v>
      </c>
      <c r="AV53" s="40">
        <v>33.630664825439453</v>
      </c>
      <c r="AW53" s="40">
        <v>66.956504821777344</v>
      </c>
      <c r="AX53" s="40">
        <v>71.258255004882812</v>
      </c>
      <c r="AY53" s="40">
        <v>20.1562614440918</v>
      </c>
      <c r="AZ53" s="40">
        <v>1872.339965820312</v>
      </c>
    </row>
    <row r="54" spans="1:52" ht="16" x14ac:dyDescent="0.2">
      <c r="A54" s="41">
        <v>41730</v>
      </c>
      <c r="B54" s="42">
        <v>18.362678527832031</v>
      </c>
      <c r="C54" s="42">
        <v>30.522222518920898</v>
      </c>
      <c r="D54" s="42">
        <v>61.689998626708977</v>
      </c>
      <c r="E54" s="42">
        <v>21.620000839233398</v>
      </c>
      <c r="F54" s="42">
        <v>78.631935119628906</v>
      </c>
      <c r="G54" s="42">
        <v>15.20650005340576</v>
      </c>
      <c r="H54" s="42">
        <v>77.947341918945312</v>
      </c>
      <c r="I54" s="42">
        <v>17.99582481384277</v>
      </c>
      <c r="J54" s="42">
        <v>92.024978637695312</v>
      </c>
      <c r="K54" s="42">
        <v>15.99110794067383</v>
      </c>
      <c r="L54" s="42">
        <v>74.184043884277344</v>
      </c>
      <c r="M54" s="42">
        <v>70.795455932617188</v>
      </c>
      <c r="N54" s="42">
        <v>91.489082336425781</v>
      </c>
      <c r="O54" s="42">
        <v>49.106063842773438</v>
      </c>
      <c r="P54" s="42">
        <v>69.723808288574219</v>
      </c>
      <c r="Q54" s="42">
        <v>3.5399999618530269</v>
      </c>
      <c r="R54" s="42">
        <v>105.1699981689453</v>
      </c>
      <c r="S54" s="42">
        <v>84.110343933105469</v>
      </c>
      <c r="T54" s="42">
        <v>106.95697021484381</v>
      </c>
      <c r="U54" s="42">
        <v>26.491909027099609</v>
      </c>
      <c r="V54" s="42">
        <v>125.474967956543</v>
      </c>
      <c r="W54" s="42">
        <v>59.185356140136719</v>
      </c>
      <c r="X54" s="42">
        <v>48.560001373291023</v>
      </c>
      <c r="Y54" s="42">
        <v>71.930671691894531</v>
      </c>
      <c r="Z54" s="42">
        <v>40.446765899658203</v>
      </c>
      <c r="AA54" s="42">
        <v>27.83969688415527</v>
      </c>
      <c r="AB54" s="42">
        <v>75.560043334960938</v>
      </c>
      <c r="AC54" s="42">
        <v>73.455162048339844</v>
      </c>
      <c r="AD54" s="42">
        <v>43.38360595703125</v>
      </c>
      <c r="AE54" s="42">
        <v>22.438533782958981</v>
      </c>
      <c r="AF54" s="42">
        <v>33.557758331298828</v>
      </c>
      <c r="AG54" s="42">
        <v>25.470582962036129</v>
      </c>
      <c r="AH54" s="42">
        <v>17.94807052612305</v>
      </c>
      <c r="AI54" s="42">
        <v>26.469173431396481</v>
      </c>
      <c r="AJ54" s="42">
        <v>0.43682199716567988</v>
      </c>
      <c r="AK54" s="42">
        <v>67.208259582519531</v>
      </c>
      <c r="AL54" s="42">
        <v>30.173589706420898</v>
      </c>
      <c r="AM54" s="42">
        <v>58.474117279052727</v>
      </c>
      <c r="AN54" s="42">
        <v>103.6976776123047</v>
      </c>
      <c r="AO54" s="42">
        <v>8.6800003051757812</v>
      </c>
      <c r="AP54" s="42">
        <v>28.228387832641602</v>
      </c>
      <c r="AQ54" s="42">
        <v>12.313765525817869</v>
      </c>
      <c r="AR54" s="42">
        <v>55.756973266601562</v>
      </c>
      <c r="AS54" s="42">
        <v>294.11453247070312</v>
      </c>
      <c r="AT54" s="42">
        <v>59.218048095703118</v>
      </c>
      <c r="AU54" s="42">
        <v>24.54196739196777</v>
      </c>
      <c r="AV54" s="42">
        <v>32.622425079345703</v>
      </c>
      <c r="AW54" s="42">
        <v>61.280830383300781</v>
      </c>
      <c r="AX54" s="42">
        <v>72.310089111328125</v>
      </c>
      <c r="AY54" s="42">
        <v>21.021268844604489</v>
      </c>
      <c r="AZ54" s="42">
        <v>1883.949951171875</v>
      </c>
    </row>
    <row r="55" spans="1:52" ht="16" x14ac:dyDescent="0.2">
      <c r="A55" s="39">
        <v>41760</v>
      </c>
      <c r="B55" s="40">
        <v>19.808002471923832</v>
      </c>
      <c r="C55" s="40">
        <v>31.5228271484375</v>
      </c>
      <c r="D55" s="40">
        <v>64.540000915527344</v>
      </c>
      <c r="E55" s="40">
        <v>22.760000228881839</v>
      </c>
      <c r="F55" s="40">
        <v>82.063430786132812</v>
      </c>
      <c r="G55" s="40">
        <v>15.627499580383301</v>
      </c>
      <c r="H55" s="40">
        <v>75.603019714355469</v>
      </c>
      <c r="I55" s="40">
        <v>18.148811340332031</v>
      </c>
      <c r="J55" s="40">
        <v>92.578056335449219</v>
      </c>
      <c r="K55" s="40">
        <v>17.035953521728519</v>
      </c>
      <c r="L55" s="40">
        <v>73.190078735351562</v>
      </c>
      <c r="M55" s="40">
        <v>74.962532043457031</v>
      </c>
      <c r="N55" s="40">
        <v>95.46722412109375</v>
      </c>
      <c r="O55" s="40">
        <v>48.366325378417969</v>
      </c>
      <c r="P55" s="40">
        <v>75.273269653320312</v>
      </c>
      <c r="Q55" s="40">
        <v>3.309999942779541</v>
      </c>
      <c r="R55" s="40">
        <v>108.5500030517578</v>
      </c>
      <c r="S55" s="40">
        <v>90.773063659667969</v>
      </c>
      <c r="T55" s="40">
        <v>106.5592346191406</v>
      </c>
      <c r="U55" s="40">
        <v>28.313081741333011</v>
      </c>
      <c r="V55" s="40">
        <v>125.8951721191406</v>
      </c>
      <c r="W55" s="40">
        <v>59.721317291259773</v>
      </c>
      <c r="X55" s="40">
        <v>49.549999237060547</v>
      </c>
      <c r="Y55" s="40">
        <v>72.553535461425781</v>
      </c>
      <c r="Z55" s="40">
        <v>40.150535583496087</v>
      </c>
      <c r="AA55" s="40">
        <v>27.92160606384277</v>
      </c>
      <c r="AB55" s="40">
        <v>72.488075256347656</v>
      </c>
      <c r="AC55" s="40">
        <v>74.083770751953125</v>
      </c>
      <c r="AD55" s="40">
        <v>45.013629913330078</v>
      </c>
      <c r="AE55" s="40">
        <v>22.387750625610352</v>
      </c>
      <c r="AF55" s="40">
        <v>34.246227264404297</v>
      </c>
      <c r="AG55" s="40">
        <v>27.87917518615723</v>
      </c>
      <c r="AH55" s="40">
        <v>17.63179779052734</v>
      </c>
      <c r="AI55" s="40">
        <v>27.50980377197266</v>
      </c>
      <c r="AJ55" s="40">
        <v>0.45142632722854609</v>
      </c>
      <c r="AK55" s="40">
        <v>66.326400756835938</v>
      </c>
      <c r="AL55" s="40">
        <v>30.77973747253418</v>
      </c>
      <c r="AM55" s="40">
        <v>57.227405548095703</v>
      </c>
      <c r="AN55" s="40">
        <v>102.7488174438477</v>
      </c>
      <c r="AO55" s="40">
        <v>8.7899999618530273</v>
      </c>
      <c r="AP55" s="40">
        <v>28.839773178100589</v>
      </c>
      <c r="AQ55" s="40">
        <v>13.95510768890381</v>
      </c>
      <c r="AR55" s="40">
        <v>56.989555358886719</v>
      </c>
      <c r="AS55" s="40">
        <v>304.09033203125</v>
      </c>
      <c r="AT55" s="40">
        <v>60.798519134521477</v>
      </c>
      <c r="AU55" s="40">
        <v>23.035894393920898</v>
      </c>
      <c r="AV55" s="40">
        <v>33.720600128173828</v>
      </c>
      <c r="AW55" s="40">
        <v>65.029190063476562</v>
      </c>
      <c r="AX55" s="40">
        <v>75.666801452636719</v>
      </c>
      <c r="AY55" s="40">
        <v>20.371274948120121</v>
      </c>
      <c r="AZ55" s="40">
        <v>1923.569946289062</v>
      </c>
    </row>
    <row r="56" spans="1:52" ht="16" x14ac:dyDescent="0.2">
      <c r="A56" s="41">
        <v>41791</v>
      </c>
      <c r="B56" s="42">
        <v>20.355926513671879</v>
      </c>
      <c r="C56" s="42">
        <v>32.224018096923828</v>
      </c>
      <c r="D56" s="42">
        <v>72.360000610351562</v>
      </c>
      <c r="E56" s="42">
        <v>22.479999542236332</v>
      </c>
      <c r="F56" s="42">
        <v>83.747283935546875</v>
      </c>
      <c r="G56" s="42">
        <v>16.23900032043457</v>
      </c>
      <c r="H56" s="42">
        <v>80.365608215332031</v>
      </c>
      <c r="I56" s="42">
        <v>18.741270065307621</v>
      </c>
      <c r="J56" s="42">
        <v>91.891853332519531</v>
      </c>
      <c r="K56" s="42">
        <v>17.195112228393551</v>
      </c>
      <c r="L56" s="42">
        <v>77.815467834472656</v>
      </c>
      <c r="M56" s="42">
        <v>76.506195068359375</v>
      </c>
      <c r="N56" s="42">
        <v>97.594779968261719</v>
      </c>
      <c r="O56" s="42">
        <v>48.098133087158203</v>
      </c>
      <c r="P56" s="42">
        <v>83.14208984375</v>
      </c>
      <c r="Q56" s="42">
        <v>3.3900001049041748</v>
      </c>
      <c r="R56" s="42">
        <v>111.44000244140619</v>
      </c>
      <c r="S56" s="42">
        <v>89.56658935546875</v>
      </c>
      <c r="T56" s="42">
        <v>105.3929443359375</v>
      </c>
      <c r="U56" s="42">
        <v>28.957944869995121</v>
      </c>
      <c r="V56" s="42">
        <v>131.90594482421881</v>
      </c>
      <c r="W56" s="42">
        <v>60.61712646484375</v>
      </c>
      <c r="X56" s="42">
        <v>56.439998626708977</v>
      </c>
      <c r="Y56" s="42">
        <v>74.813262939453125</v>
      </c>
      <c r="Z56" s="42">
        <v>41.631702423095703</v>
      </c>
      <c r="AA56" s="42">
        <v>29.128677368164059</v>
      </c>
      <c r="AB56" s="42">
        <v>72.642860412597656</v>
      </c>
      <c r="AC56" s="42">
        <v>73.579811096191406</v>
      </c>
      <c r="AD56" s="42">
        <v>47.027187347412109</v>
      </c>
      <c r="AE56" s="42">
        <v>23.454181671142582</v>
      </c>
      <c r="AF56" s="42">
        <v>34.8819580078125</v>
      </c>
      <c r="AG56" s="42">
        <v>32.130771636962891</v>
      </c>
      <c r="AH56" s="42">
        <v>18.559019088745121</v>
      </c>
      <c r="AI56" s="42">
        <v>27.145589828491211</v>
      </c>
      <c r="AJ56" s="42">
        <v>0.44049707055091858</v>
      </c>
      <c r="AK56" s="42">
        <v>71.92340087890625</v>
      </c>
      <c r="AL56" s="42">
        <v>32.493179321289062</v>
      </c>
      <c r="AM56" s="42">
        <v>55.669036865234382</v>
      </c>
      <c r="AN56" s="42">
        <v>103.15903472900391</v>
      </c>
      <c r="AO56" s="42">
        <v>8.6000003814697266</v>
      </c>
      <c r="AP56" s="42">
        <v>28.77303314208984</v>
      </c>
      <c r="AQ56" s="42">
        <v>14.32176685333252</v>
      </c>
      <c r="AR56" s="42">
        <v>56.398517608642578</v>
      </c>
      <c r="AS56" s="42">
        <v>279.82931518554688</v>
      </c>
      <c r="AT56" s="42">
        <v>61.481910705566413</v>
      </c>
      <c r="AU56" s="42">
        <v>22.48591423034668</v>
      </c>
      <c r="AV56" s="42">
        <v>34.301994323730469</v>
      </c>
      <c r="AW56" s="42">
        <v>67.074249267578125</v>
      </c>
      <c r="AX56" s="42">
        <v>76.092971801757812</v>
      </c>
      <c r="AY56" s="42">
        <v>19.920173645019531</v>
      </c>
      <c r="AZ56" s="42">
        <v>1960.22998046875</v>
      </c>
    </row>
    <row r="57" spans="1:52" ht="16" x14ac:dyDescent="0.2">
      <c r="A57" s="39">
        <v>41821</v>
      </c>
      <c r="B57" s="40">
        <v>20.940780639648441</v>
      </c>
      <c r="C57" s="40">
        <v>33.363208770751953</v>
      </c>
      <c r="D57" s="40">
        <v>69.25</v>
      </c>
      <c r="E57" s="40">
        <v>22.139999389648441</v>
      </c>
      <c r="F57" s="40">
        <v>90.128990173339844</v>
      </c>
      <c r="G57" s="40">
        <v>15.64949989318848</v>
      </c>
      <c r="H57" s="40">
        <v>74.979629516601562</v>
      </c>
      <c r="I57" s="40">
        <v>18.758724212646481</v>
      </c>
      <c r="J57" s="40">
        <v>94.075286865234375</v>
      </c>
      <c r="K57" s="40">
        <v>17.591318130493161</v>
      </c>
      <c r="L57" s="40">
        <v>77.034645080566406</v>
      </c>
      <c r="M57" s="40">
        <v>76.631111145019531</v>
      </c>
      <c r="N57" s="40">
        <v>95.131668090820312</v>
      </c>
      <c r="O57" s="40">
        <v>46.133922576904297</v>
      </c>
      <c r="P57" s="40">
        <v>77.947250366210938</v>
      </c>
      <c r="Q57" s="40">
        <v>4.0300002098083496</v>
      </c>
      <c r="R57" s="40">
        <v>112.5899963378906</v>
      </c>
      <c r="S57" s="40">
        <v>90.215560913085938</v>
      </c>
      <c r="T57" s="40">
        <v>100.861198425293</v>
      </c>
      <c r="U57" s="40">
        <v>28.70435905456543</v>
      </c>
      <c r="V57" s="40">
        <v>136.1835632324219</v>
      </c>
      <c r="W57" s="40">
        <v>60.534770965576172</v>
      </c>
      <c r="X57" s="40">
        <v>47.569999694824219</v>
      </c>
      <c r="Y57" s="40">
        <v>71.573898315429688</v>
      </c>
      <c r="Z57" s="40">
        <v>41.959098815917969</v>
      </c>
      <c r="AA57" s="40">
        <v>27.017608642578121</v>
      </c>
      <c r="AB57" s="40">
        <v>69.615737915039062</v>
      </c>
      <c r="AC57" s="40">
        <v>69.065948486328125</v>
      </c>
      <c r="AD57" s="40">
        <v>45.756172180175781</v>
      </c>
      <c r="AE57" s="40">
        <v>23.532590866088871</v>
      </c>
      <c r="AF57" s="40">
        <v>36.103237152099609</v>
      </c>
      <c r="AG57" s="40">
        <v>29.79044342041016</v>
      </c>
      <c r="AH57" s="40">
        <v>17.003383636474609</v>
      </c>
      <c r="AI57" s="40">
        <v>28.998613357543949</v>
      </c>
      <c r="AJ57" s="40">
        <v>0.41578736901283259</v>
      </c>
      <c r="AK57" s="40">
        <v>62.515293121337891</v>
      </c>
      <c r="AL57" s="40">
        <v>31.020988464355469</v>
      </c>
      <c r="AM57" s="40">
        <v>55.20697021484375</v>
      </c>
      <c r="AN57" s="40">
        <v>94.314262390136719</v>
      </c>
      <c r="AO57" s="40">
        <v>7.9699997901916504</v>
      </c>
      <c r="AP57" s="40">
        <v>28.57696533203125</v>
      </c>
      <c r="AQ57" s="40">
        <v>13.458028793334959</v>
      </c>
      <c r="AR57" s="40">
        <v>52.496185302734382</v>
      </c>
      <c r="AS57" s="40">
        <v>313.2637939453125</v>
      </c>
      <c r="AT57" s="40">
        <v>61.279891967773438</v>
      </c>
      <c r="AU57" s="40">
        <v>22.545135498046879</v>
      </c>
      <c r="AV57" s="40">
        <v>33.408309936523438</v>
      </c>
      <c r="AW57" s="40">
        <v>66.499893188476562</v>
      </c>
      <c r="AX57" s="40">
        <v>74.994483947753906</v>
      </c>
      <c r="AY57" s="40">
        <v>19.524797439575199</v>
      </c>
      <c r="AZ57" s="40">
        <v>1930.670043945312</v>
      </c>
    </row>
    <row r="58" spans="1:52" ht="16" x14ac:dyDescent="0.2">
      <c r="A58" s="41">
        <v>41852</v>
      </c>
      <c r="B58" s="42">
        <v>22.563873291015621</v>
      </c>
      <c r="C58" s="42">
        <v>33.458267211914062</v>
      </c>
      <c r="D58" s="42">
        <v>71.900001525878906</v>
      </c>
      <c r="E58" s="42">
        <v>21.89999961853027</v>
      </c>
      <c r="F58" s="42">
        <v>99.086708068847656</v>
      </c>
      <c r="G58" s="42">
        <v>16.951999664306641</v>
      </c>
      <c r="H58" s="42">
        <v>81.171470642089844</v>
      </c>
      <c r="I58" s="42">
        <v>19.104366302490231</v>
      </c>
      <c r="J58" s="42">
        <v>96.908584594726562</v>
      </c>
      <c r="K58" s="42">
        <v>17.42397499084473</v>
      </c>
      <c r="L58" s="42">
        <v>77.81561279296875</v>
      </c>
      <c r="M58" s="42">
        <v>80.200347900390625</v>
      </c>
      <c r="N58" s="42">
        <v>100.645149230957</v>
      </c>
      <c r="O58" s="42">
        <v>46.722682952880859</v>
      </c>
      <c r="P58" s="42">
        <v>78.2606201171875</v>
      </c>
      <c r="Q58" s="42">
        <v>4.1399998664855957</v>
      </c>
      <c r="R58" s="42">
        <v>124.19000244140619</v>
      </c>
      <c r="S58" s="42">
        <v>95.221923828125</v>
      </c>
      <c r="T58" s="42">
        <v>104.189826965332</v>
      </c>
      <c r="U58" s="42">
        <v>28.84353065490723</v>
      </c>
      <c r="V58" s="42">
        <v>141.5368347167969</v>
      </c>
      <c r="W58" s="42">
        <v>70.006187438964844</v>
      </c>
      <c r="X58" s="42">
        <v>54.200000762939453</v>
      </c>
      <c r="Y58" s="42">
        <v>74.67852783203125</v>
      </c>
      <c r="Z58" s="42">
        <v>43.254188537597663</v>
      </c>
      <c r="AA58" s="42">
        <v>28.688579559326168</v>
      </c>
      <c r="AB58" s="42">
        <v>67.122535705566406</v>
      </c>
      <c r="AC58" s="42">
        <v>69.043289184570312</v>
      </c>
      <c r="AD58" s="42">
        <v>47.319915771484382</v>
      </c>
      <c r="AE58" s="42">
        <v>24.966083526611332</v>
      </c>
      <c r="AF58" s="42">
        <v>38.239437103271477</v>
      </c>
      <c r="AG58" s="42">
        <v>31.78946685791016</v>
      </c>
      <c r="AH58" s="42">
        <v>17.96385383605957</v>
      </c>
      <c r="AI58" s="42">
        <v>31.47737884521484</v>
      </c>
      <c r="AJ58" s="42">
        <v>0.46416217088699341</v>
      </c>
      <c r="AK58" s="42">
        <v>64.283370971679688</v>
      </c>
      <c r="AL58" s="42">
        <v>33.799057006835938</v>
      </c>
      <c r="AM58" s="42">
        <v>59.341064453125</v>
      </c>
      <c r="AN58" s="42">
        <v>95.155853271484375</v>
      </c>
      <c r="AO58" s="42">
        <v>8.8299999237060547</v>
      </c>
      <c r="AP58" s="42">
        <v>28.667995452880859</v>
      </c>
      <c r="AQ58" s="42">
        <v>14.38820743560791</v>
      </c>
      <c r="AR58" s="42">
        <v>54.490776062011719</v>
      </c>
      <c r="AS58" s="42">
        <v>347.1837158203125</v>
      </c>
      <c r="AT58" s="42">
        <v>64.979629516601562</v>
      </c>
      <c r="AU58" s="42">
        <v>25.300212860107418</v>
      </c>
      <c r="AV58" s="42">
        <v>34.802417755126953</v>
      </c>
      <c r="AW58" s="42">
        <v>71.11920166015625</v>
      </c>
      <c r="AX58" s="42">
        <v>80.686019897460938</v>
      </c>
      <c r="AY58" s="42">
        <v>20.166259765625</v>
      </c>
      <c r="AZ58" s="42">
        <v>2003.369995117188</v>
      </c>
    </row>
    <row r="59" spans="1:52" ht="16" x14ac:dyDescent="0.2">
      <c r="A59" s="39">
        <v>41883</v>
      </c>
      <c r="B59" s="40">
        <v>22.178634643554691</v>
      </c>
      <c r="C59" s="40">
        <v>32.943401336669922</v>
      </c>
      <c r="D59" s="40">
        <v>69.19000244140625</v>
      </c>
      <c r="E59" s="40">
        <v>19.60000038146973</v>
      </c>
      <c r="F59" s="40">
        <v>99.854484558105469</v>
      </c>
      <c r="G59" s="40">
        <v>16.121999740600589</v>
      </c>
      <c r="H59" s="40">
        <v>73.699577331542969</v>
      </c>
      <c r="I59" s="40">
        <v>18.854396820068359</v>
      </c>
      <c r="J59" s="40">
        <v>100.30214691162109</v>
      </c>
      <c r="K59" s="40">
        <v>17.683231353759769</v>
      </c>
      <c r="L59" s="40">
        <v>71.726249694824219</v>
      </c>
      <c r="M59" s="40">
        <v>79.441886901855469</v>
      </c>
      <c r="N59" s="40">
        <v>100.8958282470703</v>
      </c>
      <c r="O59" s="40">
        <v>45.671745300292969</v>
      </c>
      <c r="P59" s="40">
        <v>70.525711059570312</v>
      </c>
      <c r="Q59" s="40">
        <v>1.529999971389771</v>
      </c>
      <c r="R59" s="40">
        <v>118.7399978637695</v>
      </c>
      <c r="S59" s="40">
        <v>98.188682556152344</v>
      </c>
      <c r="T59" s="40">
        <v>103.61379241943359</v>
      </c>
      <c r="U59" s="40">
        <v>29.143184661865231</v>
      </c>
      <c r="V59" s="40">
        <v>145.061279296875</v>
      </c>
      <c r="W59" s="40">
        <v>69.035446166992188</v>
      </c>
      <c r="X59" s="40">
        <v>49.049999237060547</v>
      </c>
      <c r="Y59" s="40">
        <v>76.737579345703125</v>
      </c>
      <c r="Z59" s="40">
        <v>43.828971862792969</v>
      </c>
      <c r="AA59" s="40">
        <v>29.548686981201168</v>
      </c>
      <c r="AB59" s="40">
        <v>64.507728576660156</v>
      </c>
      <c r="AC59" s="40">
        <v>69.846298217773438</v>
      </c>
      <c r="AD59" s="40">
        <v>45.911808013916023</v>
      </c>
      <c r="AE59" s="40">
        <v>25.155277252197269</v>
      </c>
      <c r="AF59" s="40">
        <v>39.022247314453118</v>
      </c>
      <c r="AG59" s="40">
        <v>33.408195495605469</v>
      </c>
      <c r="AH59" s="40">
        <v>17.129972457885739</v>
      </c>
      <c r="AI59" s="40">
        <v>32.074672698974609</v>
      </c>
      <c r="AJ59" s="40">
        <v>0.44029787182807922</v>
      </c>
      <c r="AK59" s="40">
        <v>60.22637939453125</v>
      </c>
      <c r="AL59" s="40">
        <v>31.560237884521481</v>
      </c>
      <c r="AM59" s="40">
        <v>59.790885925292969</v>
      </c>
      <c r="AN59" s="40">
        <v>94.04364013671875</v>
      </c>
      <c r="AO59" s="40">
        <v>8.0500001907348633</v>
      </c>
      <c r="AP59" s="40">
        <v>26.624546051025391</v>
      </c>
      <c r="AQ59" s="40">
        <v>13.79269599914551</v>
      </c>
      <c r="AR59" s="40">
        <v>53.538440704345703</v>
      </c>
      <c r="AS59" s="40">
        <v>357.149658203125</v>
      </c>
      <c r="AT59" s="40">
        <v>65.241798400878906</v>
      </c>
      <c r="AU59" s="40">
        <v>25.113456726074219</v>
      </c>
      <c r="AV59" s="40">
        <v>34.448486328125</v>
      </c>
      <c r="AW59" s="40">
        <v>71.067352294921875</v>
      </c>
      <c r="AX59" s="40">
        <v>83.10040283203125</v>
      </c>
      <c r="AY59" s="40">
        <v>20.425346374511719</v>
      </c>
      <c r="AZ59" s="40">
        <v>1972.2900390625</v>
      </c>
    </row>
    <row r="60" spans="1:52" ht="16" x14ac:dyDescent="0.2">
      <c r="A60" s="41">
        <v>41913</v>
      </c>
      <c r="B60" s="42">
        <v>23.774618148803711</v>
      </c>
      <c r="C60" s="42">
        <v>34.711044311523438</v>
      </c>
      <c r="D60" s="42">
        <v>70.120002746582031</v>
      </c>
      <c r="E60" s="42">
        <v>19.870000839233398</v>
      </c>
      <c r="F60" s="42">
        <v>115.2954406738281</v>
      </c>
      <c r="G60" s="42">
        <v>15.27299976348877</v>
      </c>
      <c r="H60" s="42">
        <v>76.045722961425781</v>
      </c>
      <c r="I60" s="42">
        <v>19.40480995178223</v>
      </c>
      <c r="J60" s="42">
        <v>106.7451171875</v>
      </c>
      <c r="K60" s="42">
        <v>17.191450119018551</v>
      </c>
      <c r="L60" s="42">
        <v>72.104942321777344</v>
      </c>
      <c r="M60" s="42">
        <v>81.538795471191406</v>
      </c>
      <c r="N60" s="42">
        <v>97.732688903808594</v>
      </c>
      <c r="O60" s="42">
        <v>46.751846313476562</v>
      </c>
      <c r="P60" s="42">
        <v>67.834030151367188</v>
      </c>
      <c r="Q60" s="42">
        <v>1.700000047683716</v>
      </c>
      <c r="R60" s="42">
        <v>122.98000335693359</v>
      </c>
      <c r="S60" s="42">
        <v>108.5349655151367</v>
      </c>
      <c r="T60" s="42">
        <v>104.382209777832</v>
      </c>
      <c r="U60" s="42">
        <v>28.125862121582031</v>
      </c>
      <c r="V60" s="42">
        <v>150.134521484375</v>
      </c>
      <c r="W60" s="42">
        <v>73.384986877441406</v>
      </c>
      <c r="X60" s="42">
        <v>67.05999755859375</v>
      </c>
      <c r="Y60" s="42">
        <v>77.594276428222656</v>
      </c>
      <c r="Z60" s="42">
        <v>44.300067901611328</v>
      </c>
      <c r="AA60" s="42">
        <v>29.008426666259769</v>
      </c>
      <c r="AB60" s="42">
        <v>75.68328857421875</v>
      </c>
      <c r="AC60" s="42">
        <v>69.050674438476562</v>
      </c>
      <c r="AD60" s="42">
        <v>50.7640380859375</v>
      </c>
      <c r="AE60" s="42">
        <v>25.506025314331051</v>
      </c>
      <c r="AF60" s="42">
        <v>39.51885986328125</v>
      </c>
      <c r="AG60" s="42">
        <v>32.267280578613281</v>
      </c>
      <c r="AH60" s="42">
        <v>18.28681564331055</v>
      </c>
      <c r="AI60" s="42">
        <v>32.08807373046875</v>
      </c>
      <c r="AJ60" s="42">
        <v>0.46630990505218511</v>
      </c>
      <c r="AK60" s="42">
        <v>64.939506530761719</v>
      </c>
      <c r="AL60" s="42">
        <v>28.66257476806641</v>
      </c>
      <c r="AM60" s="42">
        <v>62.789226531982422</v>
      </c>
      <c r="AN60" s="42">
        <v>104.6549606323242</v>
      </c>
      <c r="AO60" s="42">
        <v>8.9899997711181641</v>
      </c>
      <c r="AP60" s="42">
        <v>29.414119720458981</v>
      </c>
      <c r="AQ60" s="42">
        <v>15.02801036834717</v>
      </c>
      <c r="AR60" s="42">
        <v>56.216426849365227</v>
      </c>
      <c r="AS60" s="42">
        <v>390.039306640625</v>
      </c>
      <c r="AT60" s="42">
        <v>68.390838623046875</v>
      </c>
      <c r="AU60" s="42">
        <v>26.874843597412109</v>
      </c>
      <c r="AV60" s="42">
        <v>36.124732971191413</v>
      </c>
      <c r="AW60" s="42">
        <v>78.285301208496094</v>
      </c>
      <c r="AX60" s="42">
        <v>89.255126953125</v>
      </c>
      <c r="AY60" s="42">
        <v>20.371927261352539</v>
      </c>
      <c r="AZ60" s="42">
        <v>2018.050048828125</v>
      </c>
    </row>
    <row r="61" spans="1:52" ht="16" x14ac:dyDescent="0.2">
      <c r="A61" s="39">
        <v>41944</v>
      </c>
      <c r="B61" s="40">
        <v>26.294219970703121</v>
      </c>
      <c r="C61" s="40">
        <v>35.443634033203118</v>
      </c>
      <c r="D61" s="40">
        <v>73.680000305175781</v>
      </c>
      <c r="E61" s="40">
        <v>23.079999923706051</v>
      </c>
      <c r="F61" s="40">
        <v>117.9696578979492</v>
      </c>
      <c r="G61" s="40">
        <v>16.931999206542969</v>
      </c>
      <c r="H61" s="40">
        <v>75.438316345214844</v>
      </c>
      <c r="I61" s="40">
        <v>19.997297286987301</v>
      </c>
      <c r="J61" s="40">
        <v>114.0437088012695</v>
      </c>
      <c r="K61" s="40">
        <v>19.418539047241211</v>
      </c>
      <c r="L61" s="40">
        <v>66.051383972167969</v>
      </c>
      <c r="M61" s="40">
        <v>82.547111511230469</v>
      </c>
      <c r="N61" s="40">
        <v>95.729316711425781</v>
      </c>
      <c r="O61" s="40">
        <v>46.866806030273438</v>
      </c>
      <c r="P61" s="40">
        <v>61.889209747314453</v>
      </c>
      <c r="Q61" s="40">
        <v>1.6599999666213989</v>
      </c>
      <c r="R61" s="40">
        <v>129.19000244140619</v>
      </c>
      <c r="S61" s="40">
        <v>112.8838424682617</v>
      </c>
      <c r="T61" s="40">
        <v>107.13230133056641</v>
      </c>
      <c r="U61" s="40">
        <v>27.195217132568359</v>
      </c>
      <c r="V61" s="40">
        <v>149.36131286621091</v>
      </c>
      <c r="W61" s="40">
        <v>74.799713134765625</v>
      </c>
      <c r="X61" s="40">
        <v>75.550003051757812</v>
      </c>
      <c r="Y61" s="40">
        <v>78.440200805664062</v>
      </c>
      <c r="Z61" s="40">
        <v>44.065670013427727</v>
      </c>
      <c r="AA61" s="40">
        <v>31.266389846801761</v>
      </c>
      <c r="AB61" s="40">
        <v>76.120933532714844</v>
      </c>
      <c r="AC61" s="40">
        <v>71.950172424316406</v>
      </c>
      <c r="AD61" s="40">
        <v>55.016719818115227</v>
      </c>
      <c r="AE61" s="40">
        <v>25.673871994018551</v>
      </c>
      <c r="AF61" s="40">
        <v>40.496570587158203</v>
      </c>
      <c r="AG61" s="40">
        <v>35.056175231933587</v>
      </c>
      <c r="AH61" s="40">
        <v>19.18243408203125</v>
      </c>
      <c r="AI61" s="40">
        <v>31.900640487670898</v>
      </c>
      <c r="AJ61" s="40">
        <v>0.50255405902862549</v>
      </c>
      <c r="AK61" s="40">
        <v>58.175411224365227</v>
      </c>
      <c r="AL61" s="40">
        <v>26.338052749633789</v>
      </c>
      <c r="AM61" s="40">
        <v>65.062797546386719</v>
      </c>
      <c r="AN61" s="40">
        <v>106.82936859130859</v>
      </c>
      <c r="AO61" s="40">
        <v>9.0200004577636719</v>
      </c>
      <c r="AP61" s="40">
        <v>29.859043121337891</v>
      </c>
      <c r="AQ61" s="40">
        <v>16.94003868103027</v>
      </c>
      <c r="AR61" s="40">
        <v>52.504581451416023</v>
      </c>
      <c r="AS61" s="40">
        <v>412.22003173828119</v>
      </c>
      <c r="AT61" s="40">
        <v>73.1182861328125</v>
      </c>
      <c r="AU61" s="40">
        <v>28.157218933105469</v>
      </c>
      <c r="AV61" s="40">
        <v>39.587356567382812</v>
      </c>
      <c r="AW61" s="40">
        <v>81.26806640625</v>
      </c>
      <c r="AX61" s="40">
        <v>89.864784240722656</v>
      </c>
      <c r="AY61" s="40">
        <v>23.38217735290527</v>
      </c>
      <c r="AZ61" s="40">
        <v>2067.56005859375</v>
      </c>
    </row>
    <row r="62" spans="1:52" ht="16" x14ac:dyDescent="0.2">
      <c r="A62" s="41">
        <v>41974</v>
      </c>
      <c r="B62" s="42">
        <v>24.403890609741211</v>
      </c>
      <c r="C62" s="42">
        <v>35.849754333496087</v>
      </c>
      <c r="D62" s="42">
        <v>72.699996948242188</v>
      </c>
      <c r="E62" s="42">
        <v>24.270000457763668</v>
      </c>
      <c r="F62" s="42">
        <v>113.6736373901367</v>
      </c>
      <c r="G62" s="42">
        <v>15.517499923706049</v>
      </c>
      <c r="H62" s="42">
        <v>68.636886596679688</v>
      </c>
      <c r="I62" s="42">
        <v>20.33736610412598</v>
      </c>
      <c r="J62" s="42">
        <v>113.74684906005859</v>
      </c>
      <c r="K62" s="42">
        <v>19.544992446899411</v>
      </c>
      <c r="L62" s="42">
        <v>68.059562683105469</v>
      </c>
      <c r="M62" s="42">
        <v>85.114410400390625</v>
      </c>
      <c r="N62" s="42">
        <v>92.127433776855469</v>
      </c>
      <c r="O62" s="42">
        <v>45.38177490234375</v>
      </c>
      <c r="P62" s="42">
        <v>65.707344055175781</v>
      </c>
      <c r="Q62" s="42">
        <v>1.440000057220459</v>
      </c>
      <c r="R62" s="42">
        <v>130.4700012207031</v>
      </c>
      <c r="S62" s="42">
        <v>106.8731002807617</v>
      </c>
      <c r="T62" s="42">
        <v>103.1604919433594</v>
      </c>
      <c r="U62" s="42">
        <v>26.28289794921875</v>
      </c>
      <c r="V62" s="42">
        <v>153.65803527832031</v>
      </c>
      <c r="W62" s="42">
        <v>79.36846923828125</v>
      </c>
      <c r="X62" s="42">
        <v>73.110000610351562</v>
      </c>
      <c r="Y62" s="42">
        <v>75.773605346679688</v>
      </c>
      <c r="Z62" s="42">
        <v>45.838268280029297</v>
      </c>
      <c r="AA62" s="42">
        <v>29.446062088012699</v>
      </c>
      <c r="AB62" s="42">
        <v>74.225021362304688</v>
      </c>
      <c r="AC62" s="42">
        <v>69.638832092285156</v>
      </c>
      <c r="AD62" s="42">
        <v>53.996437072753913</v>
      </c>
      <c r="AE62" s="42">
        <v>28.315704345703121</v>
      </c>
      <c r="AF62" s="42">
        <v>39.3446044921875</v>
      </c>
      <c r="AG62" s="42">
        <v>34.139549255371087</v>
      </c>
      <c r="AH62" s="42">
        <v>19.531572341918949</v>
      </c>
      <c r="AI62" s="42">
        <v>31.075956344604489</v>
      </c>
      <c r="AJ62" s="42">
        <v>0.48050570487976069</v>
      </c>
      <c r="AK62" s="42">
        <v>54.557426452636719</v>
      </c>
      <c r="AL62" s="42">
        <v>24.212911605834961</v>
      </c>
      <c r="AM62" s="42">
        <v>65.537666320800781</v>
      </c>
      <c r="AN62" s="42">
        <v>106.7631530761719</v>
      </c>
      <c r="AO62" s="42">
        <v>8.3100004196166992</v>
      </c>
      <c r="AP62" s="42">
        <v>30.62797927856445</v>
      </c>
      <c r="AQ62" s="42">
        <v>18.625679016113281</v>
      </c>
      <c r="AR62" s="42">
        <v>53.534500122070312</v>
      </c>
      <c r="AS62" s="42">
        <v>406.41476440429688</v>
      </c>
      <c r="AT62" s="42">
        <v>78.547035217285156</v>
      </c>
      <c r="AU62" s="42">
        <v>29.187149047851559</v>
      </c>
      <c r="AV62" s="42">
        <v>38.896278381347663</v>
      </c>
      <c r="AW62" s="42">
        <v>83.609100341796875</v>
      </c>
      <c r="AX62" s="42">
        <v>91.681007385253906</v>
      </c>
      <c r="AY62" s="42">
        <v>23.06693267822266</v>
      </c>
      <c r="AZ62" s="42">
        <v>2058.89990234375</v>
      </c>
    </row>
    <row r="63" spans="1:52" ht="16" x14ac:dyDescent="0.2">
      <c r="A63" s="39">
        <v>42005</v>
      </c>
      <c r="B63" s="40">
        <v>25.902889251708981</v>
      </c>
      <c r="C63" s="40">
        <v>35.831367492675781</v>
      </c>
      <c r="D63" s="40">
        <v>70.129997253417969</v>
      </c>
      <c r="E63" s="40">
        <v>22.180000305175781</v>
      </c>
      <c r="F63" s="40">
        <v>108.6568298339844</v>
      </c>
      <c r="G63" s="40">
        <v>17.726499557495121</v>
      </c>
      <c r="H63" s="40">
        <v>60.459922790527337</v>
      </c>
      <c r="I63" s="40">
        <v>18.706914901733398</v>
      </c>
      <c r="J63" s="40">
        <v>114.7418899536133</v>
      </c>
      <c r="K63" s="40">
        <v>18.653696060180661</v>
      </c>
      <c r="L63" s="40">
        <v>62.204929351806641</v>
      </c>
      <c r="M63" s="40">
        <v>82.195632934570312</v>
      </c>
      <c r="N63" s="40">
        <v>91.466346740722656</v>
      </c>
      <c r="O63" s="40">
        <v>41.860347747802727</v>
      </c>
      <c r="P63" s="40">
        <v>63.663532257080078</v>
      </c>
      <c r="Q63" s="40">
        <v>1.870000004768372</v>
      </c>
      <c r="R63" s="40">
        <v>111.620002746582</v>
      </c>
      <c r="S63" s="40">
        <v>103.9159698486328</v>
      </c>
      <c r="T63" s="40">
        <v>97.526832580566406</v>
      </c>
      <c r="U63" s="40">
        <v>26.624155044555661</v>
      </c>
      <c r="V63" s="40">
        <v>136.67742919921881</v>
      </c>
      <c r="W63" s="40">
        <v>78.952613830566406</v>
      </c>
      <c r="X63" s="40">
        <v>79.709999084472656</v>
      </c>
      <c r="Y63" s="40">
        <v>72.56353759765625</v>
      </c>
      <c r="Z63" s="40">
        <v>40.088203430175781</v>
      </c>
      <c r="AA63" s="40">
        <v>28.713750839233398</v>
      </c>
      <c r="AB63" s="40">
        <v>74.813705444335938</v>
      </c>
      <c r="AC63" s="40">
        <v>68.702377319335938</v>
      </c>
      <c r="AD63" s="40">
        <v>53.398128509521477</v>
      </c>
      <c r="AE63" s="40">
        <v>24.74546051025391</v>
      </c>
      <c r="AF63" s="40">
        <v>34.220062255859382</v>
      </c>
      <c r="AG63" s="40">
        <v>28.542268753051761</v>
      </c>
      <c r="AH63" s="40">
        <v>20.07365608215332</v>
      </c>
      <c r="AI63" s="40">
        <v>28.4577751159668</v>
      </c>
      <c r="AJ63" s="40">
        <v>0.46013522148132319</v>
      </c>
      <c r="AK63" s="40">
        <v>48.573825836181641</v>
      </c>
      <c r="AL63" s="40">
        <v>21.705667495727539</v>
      </c>
      <c r="AM63" s="40">
        <v>61.076526641845703</v>
      </c>
      <c r="AN63" s="40">
        <v>96.422157287597656</v>
      </c>
      <c r="AO63" s="40">
        <v>8.3999996185302734</v>
      </c>
      <c r="AP63" s="40">
        <v>32.129852294921882</v>
      </c>
      <c r="AQ63" s="40">
        <v>16.59553146362305</v>
      </c>
      <c r="AR63" s="40">
        <v>44.985408782958977</v>
      </c>
      <c r="AS63" s="40">
        <v>412.76480102539062</v>
      </c>
      <c r="AT63" s="40">
        <v>81.004623413085938</v>
      </c>
      <c r="AU63" s="40">
        <v>28.063589096069339</v>
      </c>
      <c r="AV63" s="40">
        <v>39.124340057373047</v>
      </c>
      <c r="AW63" s="40">
        <v>87.876800537109375</v>
      </c>
      <c r="AX63" s="40">
        <v>90.203384399414062</v>
      </c>
      <c r="AY63" s="40">
        <v>22.825202941894531</v>
      </c>
      <c r="AZ63" s="40">
        <v>1994.989990234375</v>
      </c>
    </row>
    <row r="64" spans="1:52" ht="16" x14ac:dyDescent="0.2">
      <c r="A64" s="41">
        <v>42036</v>
      </c>
      <c r="B64" s="42">
        <v>28.513296127319339</v>
      </c>
      <c r="C64" s="42">
        <v>37.920745849609382</v>
      </c>
      <c r="D64" s="42">
        <v>79.099998474121094</v>
      </c>
      <c r="E64" s="42">
        <v>21.89999961853027</v>
      </c>
      <c r="F64" s="42">
        <v>113.1490783691406</v>
      </c>
      <c r="G64" s="42">
        <v>19.007999420166019</v>
      </c>
      <c r="H64" s="42">
        <v>62.675102233886719</v>
      </c>
      <c r="I64" s="42">
        <v>20.899660110473629</v>
      </c>
      <c r="J64" s="42">
        <v>122.1271057128906</v>
      </c>
      <c r="K64" s="42">
        <v>20.874879837036129</v>
      </c>
      <c r="L64" s="42">
        <v>65.358589172363281</v>
      </c>
      <c r="M64" s="42">
        <v>94.051467895507812</v>
      </c>
      <c r="N64" s="42">
        <v>101.8408660888672</v>
      </c>
      <c r="O64" s="42">
        <v>42.928421020507812</v>
      </c>
      <c r="P64" s="42">
        <v>64.156906127929688</v>
      </c>
      <c r="Q64" s="42">
        <v>2.9300000667572021</v>
      </c>
      <c r="R64" s="42">
        <v>118.120002746582</v>
      </c>
      <c r="S64" s="42">
        <v>108.2610778808594</v>
      </c>
      <c r="T64" s="42">
        <v>107.07509613037109</v>
      </c>
      <c r="U64" s="42">
        <v>27.866331100463871</v>
      </c>
      <c r="V64" s="42">
        <v>150.92768859863281</v>
      </c>
      <c r="W64" s="42">
        <v>86.76318359375</v>
      </c>
      <c r="X64" s="42">
        <v>85.849998474121094</v>
      </c>
      <c r="Y64" s="42">
        <v>74.800888061523438</v>
      </c>
      <c r="Z64" s="42">
        <v>45.174797058105469</v>
      </c>
      <c r="AA64" s="42">
        <v>30.199298858642582</v>
      </c>
      <c r="AB64" s="42">
        <v>76.052261352539062</v>
      </c>
      <c r="AC64" s="42">
        <v>74.142280578613281</v>
      </c>
      <c r="AD64" s="42">
        <v>58.027442932128913</v>
      </c>
      <c r="AE64" s="42">
        <v>26.19461631774902</v>
      </c>
      <c r="AF64" s="42">
        <v>37.406635284423828</v>
      </c>
      <c r="AG64" s="42">
        <v>29.90745735168457</v>
      </c>
      <c r="AH64" s="42">
        <v>19.150543212890621</v>
      </c>
      <c r="AI64" s="42">
        <v>29.09769439697266</v>
      </c>
      <c r="AJ64" s="42">
        <v>0.53071194887161255</v>
      </c>
      <c r="AK64" s="42">
        <v>50.842403411865227</v>
      </c>
      <c r="AL64" s="42">
        <v>21.819063186645511</v>
      </c>
      <c r="AM64" s="42">
        <v>61.685176849365227</v>
      </c>
      <c r="AN64" s="42">
        <v>102.11485290527339</v>
      </c>
      <c r="AO64" s="42">
        <v>8.3100004196166992</v>
      </c>
      <c r="AP64" s="42">
        <v>30.400211334228519</v>
      </c>
      <c r="AQ64" s="42">
        <v>20.46634483337402</v>
      </c>
      <c r="AR64" s="42">
        <v>52.223690032958977</v>
      </c>
      <c r="AS64" s="42">
        <v>409.97122192382812</v>
      </c>
      <c r="AT64" s="42">
        <v>85.363044738769531</v>
      </c>
      <c r="AU64" s="42">
        <v>29.28861045837402</v>
      </c>
      <c r="AV64" s="42">
        <v>43.040431976318359</v>
      </c>
      <c r="AW64" s="42">
        <v>93.980636596679688</v>
      </c>
      <c r="AX64" s="42">
        <v>92.9674072265625</v>
      </c>
      <c r="AY64" s="42">
        <v>22.54317665100098</v>
      </c>
      <c r="AZ64" s="42">
        <v>2104.5</v>
      </c>
    </row>
    <row r="65" spans="1:52" ht="16" x14ac:dyDescent="0.2">
      <c r="A65" s="39">
        <v>42064</v>
      </c>
      <c r="B65" s="40">
        <v>27.618789672851559</v>
      </c>
      <c r="C65" s="40">
        <v>37.088199615478523</v>
      </c>
      <c r="D65" s="40">
        <v>73.94000244140625</v>
      </c>
      <c r="E65" s="40">
        <v>23.020000457763668</v>
      </c>
      <c r="F65" s="40">
        <v>114.6771774291992</v>
      </c>
      <c r="G65" s="40">
        <v>18.604999542236332</v>
      </c>
      <c r="H65" s="40">
        <v>60.505294799804688</v>
      </c>
      <c r="I65" s="40">
        <v>19.964668273925781</v>
      </c>
      <c r="J65" s="40">
        <v>125.89988708496089</v>
      </c>
      <c r="K65" s="40">
        <v>19.623298645019531</v>
      </c>
      <c r="L65" s="40">
        <v>64.317085266113281</v>
      </c>
      <c r="M65" s="40">
        <v>94.783416748046875</v>
      </c>
      <c r="N65" s="40">
        <v>101.104118347168</v>
      </c>
      <c r="O65" s="40">
        <v>41.964900970458977</v>
      </c>
      <c r="P65" s="40">
        <v>65.565673828125</v>
      </c>
      <c r="Q65" s="40">
        <v>2.5699999332427979</v>
      </c>
      <c r="R65" s="40">
        <v>114.94000244140619</v>
      </c>
      <c r="S65" s="40">
        <v>105.8817596435547</v>
      </c>
      <c r="T65" s="40">
        <v>102.2136764526367</v>
      </c>
      <c r="U65" s="40">
        <v>27.473567962646481</v>
      </c>
      <c r="V65" s="40">
        <v>149.48036193847659</v>
      </c>
      <c r="W65" s="40">
        <v>86.343238830566406</v>
      </c>
      <c r="X65" s="40">
        <v>91.660003662109375</v>
      </c>
      <c r="Y65" s="40">
        <v>73.407142639160156</v>
      </c>
      <c r="Z65" s="40">
        <v>44.658763885498047</v>
      </c>
      <c r="AA65" s="40">
        <v>28.515987396240231</v>
      </c>
      <c r="AB65" s="40">
        <v>66.213592529296875</v>
      </c>
      <c r="AC65" s="40">
        <v>73.047744750976562</v>
      </c>
      <c r="AD65" s="40">
        <v>58.556755065917969</v>
      </c>
      <c r="AE65" s="40">
        <v>26.121429443359379</v>
      </c>
      <c r="AF65" s="40">
        <v>34.685382843017578</v>
      </c>
      <c r="AG65" s="40">
        <v>26.45546722412109</v>
      </c>
      <c r="AH65" s="40">
        <v>19.25975227355957</v>
      </c>
      <c r="AI65" s="40">
        <v>26.696100234985352</v>
      </c>
      <c r="AJ65" s="40">
        <v>0.50352656841278076</v>
      </c>
      <c r="AK65" s="40">
        <v>50.282981872558587</v>
      </c>
      <c r="AL65" s="40">
        <v>23.78109169006348</v>
      </c>
      <c r="AM65" s="40">
        <v>59.373695373535163</v>
      </c>
      <c r="AN65" s="40">
        <v>98.860557556152344</v>
      </c>
      <c r="AO65" s="40">
        <v>8.5</v>
      </c>
      <c r="AP65" s="40">
        <v>31.270416259765621</v>
      </c>
      <c r="AQ65" s="40">
        <v>21.391599655151371</v>
      </c>
      <c r="AR65" s="40">
        <v>50.231540679931641</v>
      </c>
      <c r="AS65" s="40">
        <v>447.25933837890619</v>
      </c>
      <c r="AT65" s="40">
        <v>85.153549194335938</v>
      </c>
      <c r="AU65" s="40">
        <v>29.8902587890625</v>
      </c>
      <c r="AV65" s="40">
        <v>41.861946105957031</v>
      </c>
      <c r="AW65" s="40">
        <v>98.162117004394531</v>
      </c>
      <c r="AX65" s="40">
        <v>83.729408264160156</v>
      </c>
      <c r="AY65" s="40">
        <v>22.224630355834961</v>
      </c>
      <c r="AZ65" s="40">
        <v>2067.889892578125</v>
      </c>
    </row>
    <row r="66" spans="1:52" ht="16" x14ac:dyDescent="0.2">
      <c r="A66" s="41">
        <v>42095</v>
      </c>
      <c r="B66" s="42">
        <v>27.778596878051761</v>
      </c>
      <c r="C66" s="42">
        <v>37.350368499755859</v>
      </c>
      <c r="D66" s="42">
        <v>76.05999755859375</v>
      </c>
      <c r="E66" s="42">
        <v>26.840000152587891</v>
      </c>
      <c r="F66" s="42">
        <v>113.285400390625</v>
      </c>
      <c r="G66" s="42">
        <v>21.0890007019043</v>
      </c>
      <c r="H66" s="42">
        <v>66.228500366210938</v>
      </c>
      <c r="I66" s="42">
        <v>20.420736312866211</v>
      </c>
      <c r="J66" s="42">
        <v>119.2029724121094</v>
      </c>
      <c r="K66" s="42">
        <v>20.5499267578125</v>
      </c>
      <c r="L66" s="42">
        <v>68.042030334472656</v>
      </c>
      <c r="M66" s="42">
        <v>98.244369506835938</v>
      </c>
      <c r="N66" s="42">
        <v>98.982681274414062</v>
      </c>
      <c r="O66" s="42">
        <v>43.602897644042969</v>
      </c>
      <c r="P66" s="42">
        <v>70.882888793945312</v>
      </c>
      <c r="Q66" s="42">
        <v>2.5699999332427979</v>
      </c>
      <c r="R66" s="42">
        <v>122.01999664306641</v>
      </c>
      <c r="S66" s="42">
        <v>107.67247009277339</v>
      </c>
      <c r="T66" s="42">
        <v>111.56573486328119</v>
      </c>
      <c r="U66" s="42">
        <v>27.179861068725589</v>
      </c>
      <c r="V66" s="42">
        <v>156.20005798339841</v>
      </c>
      <c r="W66" s="42">
        <v>81.304443359375</v>
      </c>
      <c r="X66" s="42">
        <v>97.160003662109375</v>
      </c>
      <c r="Y66" s="42">
        <v>72.38555908203125</v>
      </c>
      <c r="Z66" s="42">
        <v>46.944389343261719</v>
      </c>
      <c r="AA66" s="42">
        <v>28.523031234741211</v>
      </c>
      <c r="AB66" s="42">
        <v>68.766593933105469</v>
      </c>
      <c r="AC66" s="42">
        <v>72.380561828613281</v>
      </c>
      <c r="AD66" s="42">
        <v>55.898830413818359</v>
      </c>
      <c r="AE66" s="42">
        <v>27.418107986450199</v>
      </c>
      <c r="AF66" s="42">
        <v>41.4927978515625</v>
      </c>
      <c r="AG66" s="42">
        <v>27.430608749389648</v>
      </c>
      <c r="AH66" s="42">
        <v>18.682245254516602</v>
      </c>
      <c r="AI66" s="42">
        <v>27.41718864440918</v>
      </c>
      <c r="AJ66" s="42">
        <v>0.53407973051071167</v>
      </c>
      <c r="AK66" s="42">
        <v>51.3831787109375</v>
      </c>
      <c r="AL66" s="42">
        <v>24.011171340942379</v>
      </c>
      <c r="AM66" s="42">
        <v>58.076343536376953</v>
      </c>
      <c r="AN66" s="42">
        <v>99.343307495117188</v>
      </c>
      <c r="AO66" s="42">
        <v>8.7700004577636719</v>
      </c>
      <c r="AP66" s="42">
        <v>28.858381271362301</v>
      </c>
      <c r="AQ66" s="42">
        <v>20.414667129516602</v>
      </c>
      <c r="AR66" s="42">
        <v>49.260795593261719</v>
      </c>
      <c r="AS66" s="42">
        <v>453.18341064453119</v>
      </c>
      <c r="AT66" s="42">
        <v>83.208015441894531</v>
      </c>
      <c r="AU66" s="42">
        <v>27.53914833068848</v>
      </c>
      <c r="AV66" s="42">
        <v>39.924964904785163</v>
      </c>
      <c r="AW66" s="42">
        <v>92.444511413574219</v>
      </c>
      <c r="AX66" s="42">
        <v>82.121452331542969</v>
      </c>
      <c r="AY66" s="42">
        <v>21.089756011962891</v>
      </c>
      <c r="AZ66" s="42">
        <v>2085.510009765625</v>
      </c>
    </row>
    <row r="67" spans="1:52" ht="16" x14ac:dyDescent="0.2">
      <c r="A67" s="39">
        <v>42125</v>
      </c>
      <c r="B67" s="40">
        <v>29.038057327270511</v>
      </c>
      <c r="C67" s="40">
        <v>39.104438781738281</v>
      </c>
      <c r="D67" s="40">
        <v>79.089996337890625</v>
      </c>
      <c r="E67" s="40">
        <v>28.010000228881839</v>
      </c>
      <c r="F67" s="40">
        <v>112.65428161621089</v>
      </c>
      <c r="G67" s="40">
        <v>21.46150016784668</v>
      </c>
      <c r="H67" s="40">
        <v>65.039337158203125</v>
      </c>
      <c r="I67" s="40">
        <v>20.668218612670898</v>
      </c>
      <c r="J67" s="40">
        <v>118.81960296630859</v>
      </c>
      <c r="K67" s="40">
        <v>20.89207649230957</v>
      </c>
      <c r="L67" s="40">
        <v>63.732826232910163</v>
      </c>
      <c r="M67" s="40">
        <v>99.735389709472656</v>
      </c>
      <c r="N67" s="40">
        <v>101.3427658081055</v>
      </c>
      <c r="O67" s="40">
        <v>45.051654815673828</v>
      </c>
      <c r="P67" s="40">
        <v>63.533107757568359</v>
      </c>
      <c r="Q67" s="40">
        <v>3.1500000953674321</v>
      </c>
      <c r="R67" s="40">
        <v>125.69000244140619</v>
      </c>
      <c r="S67" s="40">
        <v>109.899299621582</v>
      </c>
      <c r="T67" s="40">
        <v>112.348503112793</v>
      </c>
      <c r="U67" s="40">
        <v>27.008989334106449</v>
      </c>
      <c r="V67" s="40">
        <v>164.48089599609381</v>
      </c>
      <c r="W67" s="40">
        <v>84.678848266601562</v>
      </c>
      <c r="X67" s="40">
        <v>110.15000152587891</v>
      </c>
      <c r="Y67" s="40">
        <v>73.604316711425781</v>
      </c>
      <c r="Z67" s="40">
        <v>48.814441680908203</v>
      </c>
      <c r="AA67" s="40">
        <v>28.804323196411129</v>
      </c>
      <c r="AB67" s="40">
        <v>70.184783935546875</v>
      </c>
      <c r="AC67" s="40">
        <v>72.540725708007812</v>
      </c>
      <c r="AD67" s="40">
        <v>57.302898406982422</v>
      </c>
      <c r="AE67" s="40">
        <v>28.07215690612793</v>
      </c>
      <c r="AF67" s="40">
        <v>40.234149932861328</v>
      </c>
      <c r="AG67" s="40">
        <v>27.23558235168457</v>
      </c>
      <c r="AH67" s="40">
        <v>19.08872032165527</v>
      </c>
      <c r="AI67" s="40">
        <v>25.261627197265621</v>
      </c>
      <c r="AJ67" s="40">
        <v>0.53486013412475586</v>
      </c>
      <c r="AK67" s="40">
        <v>47.611377716064453</v>
      </c>
      <c r="AL67" s="40">
        <v>20.9261474609375</v>
      </c>
      <c r="AM67" s="40">
        <v>57.258247375488281</v>
      </c>
      <c r="AN67" s="40">
        <v>100.7532119750977</v>
      </c>
      <c r="AO67" s="40">
        <v>10.090000152587891</v>
      </c>
      <c r="AP67" s="40">
        <v>28.420476913452148</v>
      </c>
      <c r="AQ67" s="40">
        <v>19.107990264892582</v>
      </c>
      <c r="AR67" s="40">
        <v>50.477836608886719</v>
      </c>
      <c r="AS67" s="40">
        <v>507.76834106445312</v>
      </c>
      <c r="AT67" s="40">
        <v>86.455650329589844</v>
      </c>
      <c r="AU67" s="40">
        <v>27.55745697021484</v>
      </c>
      <c r="AV67" s="40">
        <v>41.184360504150391</v>
      </c>
      <c r="AW67" s="40">
        <v>99.75543212890625</v>
      </c>
      <c r="AX67" s="40">
        <v>78.428024291992188</v>
      </c>
      <c r="AY67" s="40">
        <v>20.195024490356449</v>
      </c>
      <c r="AZ67" s="40">
        <v>2107.389892578125</v>
      </c>
    </row>
    <row r="68" spans="1:52" ht="16" x14ac:dyDescent="0.2">
      <c r="A68" s="41">
        <v>42156</v>
      </c>
      <c r="B68" s="42">
        <v>27.95704460144043</v>
      </c>
      <c r="C68" s="42">
        <v>39.490669250488281</v>
      </c>
      <c r="D68" s="42">
        <v>81.010002136230469</v>
      </c>
      <c r="E68" s="42">
        <v>27.860000610351559</v>
      </c>
      <c r="F68" s="42">
        <v>110.67893218994141</v>
      </c>
      <c r="G68" s="42">
        <v>21.704500198364261</v>
      </c>
      <c r="H68" s="42">
        <v>64.658149719238281</v>
      </c>
      <c r="I68" s="42">
        <v>21.349285125732418</v>
      </c>
      <c r="J68" s="42">
        <v>112.544921875</v>
      </c>
      <c r="K68" s="42">
        <v>19.573398590087891</v>
      </c>
      <c r="L68" s="42">
        <v>59.692295074462891</v>
      </c>
      <c r="M68" s="42">
        <v>103.1421279907227</v>
      </c>
      <c r="N68" s="42">
        <v>100.2320251464844</v>
      </c>
      <c r="O68" s="42">
        <v>41.406291961669922</v>
      </c>
      <c r="P68" s="42">
        <v>62.716487884521477</v>
      </c>
      <c r="Q68" s="42">
        <v>3.7599999904632568</v>
      </c>
      <c r="R68" s="42">
        <v>120.34999847412109</v>
      </c>
      <c r="S68" s="42">
        <v>111.64202880859381</v>
      </c>
      <c r="T68" s="42">
        <v>110.3956832885742</v>
      </c>
      <c r="U68" s="42">
        <v>26.747476577758789</v>
      </c>
      <c r="V68" s="42">
        <v>166.55494689941409</v>
      </c>
      <c r="W68" s="42">
        <v>84.907035827636719</v>
      </c>
      <c r="X68" s="42">
        <v>104.2099990844727</v>
      </c>
      <c r="Y68" s="42">
        <v>71.634498596191406</v>
      </c>
      <c r="Z68" s="42">
        <v>50.283760070800781</v>
      </c>
      <c r="AA68" s="42">
        <v>27.815324783325199</v>
      </c>
      <c r="AB68" s="42">
        <v>76.607192993164062</v>
      </c>
      <c r="AC68" s="42">
        <v>71.890411376953125</v>
      </c>
      <c r="AD68" s="42">
        <v>55.918376922607422</v>
      </c>
      <c r="AE68" s="42">
        <v>28.505718231201168</v>
      </c>
      <c r="AF68" s="42">
        <v>37.907329559326172</v>
      </c>
      <c r="AG68" s="42">
        <v>18.371585845947269</v>
      </c>
      <c r="AH68" s="42">
        <v>18.284811019897461</v>
      </c>
      <c r="AI68" s="42">
        <v>23.869968414306641</v>
      </c>
      <c r="AJ68" s="42">
        <v>0.48603886365890497</v>
      </c>
      <c r="AK68" s="42">
        <v>43.665637969970703</v>
      </c>
      <c r="AL68" s="42">
        <v>19.708126068115231</v>
      </c>
      <c r="AM68" s="42">
        <v>57.148696899414062</v>
      </c>
      <c r="AN68" s="42">
        <v>97.323104858398438</v>
      </c>
      <c r="AO68" s="42">
        <v>9.5100002288818359</v>
      </c>
      <c r="AP68" s="42">
        <v>26.876079559326168</v>
      </c>
      <c r="AQ68" s="42">
        <v>18.861911773681641</v>
      </c>
      <c r="AR68" s="42">
        <v>45.685352325439453</v>
      </c>
      <c r="AS68" s="42">
        <v>505.36099243164062</v>
      </c>
      <c r="AT68" s="42">
        <v>82.507553100585938</v>
      </c>
      <c r="AU68" s="42">
        <v>28.323648452758789</v>
      </c>
      <c r="AV68" s="42">
        <v>37.936450958251953</v>
      </c>
      <c r="AW68" s="42">
        <v>101.669677734375</v>
      </c>
      <c r="AX68" s="42">
        <v>74.122261047363281</v>
      </c>
      <c r="AY68" s="42">
        <v>19.286836624145511</v>
      </c>
      <c r="AZ68" s="42">
        <v>2063.110107421875</v>
      </c>
    </row>
    <row r="69" spans="1:52" ht="16" x14ac:dyDescent="0.2">
      <c r="A69" s="39">
        <v>42186</v>
      </c>
      <c r="B69" s="40">
        <v>27.036502838134769</v>
      </c>
      <c r="C69" s="40">
        <v>40.983078002929688</v>
      </c>
      <c r="D69" s="40">
        <v>81.989997863769531</v>
      </c>
      <c r="E69" s="40">
        <v>27.139999389648441</v>
      </c>
      <c r="F69" s="40">
        <v>127.3110427856445</v>
      </c>
      <c r="G69" s="40">
        <v>26.807500839233398</v>
      </c>
      <c r="H69" s="40">
        <v>60.493019104003913</v>
      </c>
      <c r="I69" s="40">
        <v>22.155120849609379</v>
      </c>
      <c r="J69" s="40">
        <v>121.0778732299805</v>
      </c>
      <c r="K69" s="40">
        <v>20.413801193237301</v>
      </c>
      <c r="L69" s="40">
        <v>54.748332977294922</v>
      </c>
      <c r="M69" s="40">
        <v>109.0681915283203</v>
      </c>
      <c r="N69" s="40">
        <v>102.66091156005859</v>
      </c>
      <c r="O69" s="40">
        <v>38.657329559326172</v>
      </c>
      <c r="P69" s="40">
        <v>55.404289245605469</v>
      </c>
      <c r="Q69" s="40">
        <v>5.7300000190734863</v>
      </c>
      <c r="R69" s="40">
        <v>134.13999938964841</v>
      </c>
      <c r="S69" s="40">
        <v>117.4885330200195</v>
      </c>
      <c r="T69" s="40">
        <v>108.44289398193359</v>
      </c>
      <c r="U69" s="40">
        <v>32.565116882324219</v>
      </c>
      <c r="V69" s="40">
        <v>163.5874938964844</v>
      </c>
      <c r="W69" s="40">
        <v>89.414840698242188</v>
      </c>
      <c r="X69" s="40">
        <v>104.2799987792969</v>
      </c>
      <c r="Y69" s="40">
        <v>73.655754089355469</v>
      </c>
      <c r="Z69" s="40">
        <v>51.187572479248047</v>
      </c>
      <c r="AA69" s="40">
        <v>29.127033233642582</v>
      </c>
      <c r="AB69" s="40">
        <v>73.086601257324219</v>
      </c>
      <c r="AC69" s="40">
        <v>75.512565612792969</v>
      </c>
      <c r="AD69" s="40">
        <v>59.155731201171882</v>
      </c>
      <c r="AE69" s="40">
        <v>28.651958465576168</v>
      </c>
      <c r="AF69" s="40">
        <v>40.096763610839837</v>
      </c>
      <c r="AG69" s="40">
        <v>18.049789428710941</v>
      </c>
      <c r="AH69" s="40">
        <v>19.622165679931641</v>
      </c>
      <c r="AI69" s="40">
        <v>23.69483757019043</v>
      </c>
      <c r="AJ69" s="40">
        <v>0.48217174410820007</v>
      </c>
      <c r="AK69" s="40">
        <v>37.508022308349609</v>
      </c>
      <c r="AL69" s="40">
        <v>19.154201507568359</v>
      </c>
      <c r="AM69" s="40">
        <v>56.482574462890618</v>
      </c>
      <c r="AN69" s="40">
        <v>94.328041076660156</v>
      </c>
      <c r="AO69" s="40">
        <v>8.25</v>
      </c>
      <c r="AP69" s="40">
        <v>29.418802261352539</v>
      </c>
      <c r="AQ69" s="40">
        <v>18.925893783569339</v>
      </c>
      <c r="AR69" s="40">
        <v>46.96917724609375</v>
      </c>
      <c r="AS69" s="40">
        <v>548.48394775390625</v>
      </c>
      <c r="AT69" s="40">
        <v>83.329574584960938</v>
      </c>
      <c r="AU69" s="40">
        <v>29.886014938354489</v>
      </c>
      <c r="AV69" s="40">
        <v>37.061237335205078</v>
      </c>
      <c r="AW69" s="40">
        <v>101.1696395874023</v>
      </c>
      <c r="AX69" s="40">
        <v>75.847663879394531</v>
      </c>
      <c r="AY69" s="40">
        <v>19.57234001159668</v>
      </c>
      <c r="AZ69" s="40">
        <v>2103.840087890625</v>
      </c>
    </row>
    <row r="70" spans="1:52" ht="16" x14ac:dyDescent="0.2">
      <c r="A70" s="41">
        <v>42217</v>
      </c>
      <c r="B70" s="42">
        <v>25.246799468994141</v>
      </c>
      <c r="C70" s="42">
        <v>36.617168426513672</v>
      </c>
      <c r="D70" s="42">
        <v>78.569999694824219</v>
      </c>
      <c r="E70" s="42">
        <v>28.739999771118161</v>
      </c>
      <c r="F70" s="42">
        <v>109.93349456787109</v>
      </c>
      <c r="G70" s="42">
        <v>25.644500732421879</v>
      </c>
      <c r="H70" s="42">
        <v>58.808158874511719</v>
      </c>
      <c r="I70" s="42">
        <v>19.996763229370121</v>
      </c>
      <c r="J70" s="42">
        <v>117.0239562988281</v>
      </c>
      <c r="K70" s="42">
        <v>18.5893440246582</v>
      </c>
      <c r="L70" s="42">
        <v>50.745223999023438</v>
      </c>
      <c r="M70" s="42">
        <v>92.598884582519531</v>
      </c>
      <c r="N70" s="42">
        <v>96.748214721679688</v>
      </c>
      <c r="O70" s="42">
        <v>35.992652893066413</v>
      </c>
      <c r="P70" s="42">
        <v>56.20819091796875</v>
      </c>
      <c r="Q70" s="42">
        <v>5.9499998092651367</v>
      </c>
      <c r="R70" s="42">
        <v>121.4100036621094</v>
      </c>
      <c r="S70" s="42">
        <v>111.9099502563477</v>
      </c>
      <c r="T70" s="42">
        <v>103.12461853027339</v>
      </c>
      <c r="U70" s="42">
        <v>32.085678100585938</v>
      </c>
      <c r="V70" s="42">
        <v>150.96769714355469</v>
      </c>
      <c r="W70" s="42">
        <v>88.979324340820312</v>
      </c>
      <c r="X70" s="42">
        <v>116.19000244140619</v>
      </c>
      <c r="Y70" s="42">
        <v>69.605072021484375</v>
      </c>
      <c r="Z70" s="42">
        <v>47.878643035888672</v>
      </c>
      <c r="AA70" s="42">
        <v>27.879140853881839</v>
      </c>
      <c r="AB70" s="42">
        <v>66.649803161621094</v>
      </c>
      <c r="AC70" s="42">
        <v>72.485610961914062</v>
      </c>
      <c r="AD70" s="42">
        <v>54.552471160888672</v>
      </c>
      <c r="AE70" s="42">
        <v>25.413496017456051</v>
      </c>
      <c r="AF70" s="42">
        <v>37.612819671630859</v>
      </c>
      <c r="AG70" s="42">
        <v>16.00200271606445</v>
      </c>
      <c r="AH70" s="42">
        <v>18.497394561767582</v>
      </c>
      <c r="AI70" s="42">
        <v>24.310977935791019</v>
      </c>
      <c r="AJ70" s="42">
        <v>0.54560524225234985</v>
      </c>
      <c r="AK70" s="42">
        <v>41.370914459228523</v>
      </c>
      <c r="AL70" s="42">
        <v>18.251979827880859</v>
      </c>
      <c r="AM70" s="42">
        <v>52.042041778564453</v>
      </c>
      <c r="AN70" s="42">
        <v>90.638343811035156</v>
      </c>
      <c r="AO70" s="42">
        <v>9.1099996566772461</v>
      </c>
      <c r="AP70" s="42">
        <v>27.528057098388668</v>
      </c>
      <c r="AQ70" s="42">
        <v>18.633058547973629</v>
      </c>
      <c r="AR70" s="42">
        <v>41.619926452636719</v>
      </c>
      <c r="AS70" s="42">
        <v>508.69955444335938</v>
      </c>
      <c r="AT70" s="42">
        <v>76.934638977050781</v>
      </c>
      <c r="AU70" s="42">
        <v>30.190395355224609</v>
      </c>
      <c r="AV70" s="42">
        <v>35.474388122558587</v>
      </c>
      <c r="AW70" s="42">
        <v>96.419509887695312</v>
      </c>
      <c r="AX70" s="42">
        <v>67.076461791992188</v>
      </c>
      <c r="AY70" s="42">
        <v>17.72115325927734</v>
      </c>
      <c r="AZ70" s="42">
        <v>1972.180053710938</v>
      </c>
    </row>
    <row r="71" spans="1:52" ht="16" x14ac:dyDescent="0.2">
      <c r="A71" s="39">
        <v>42248</v>
      </c>
      <c r="B71" s="40">
        <v>24.69600868225098</v>
      </c>
      <c r="C71" s="40">
        <v>32.518047332763672</v>
      </c>
      <c r="D71" s="40">
        <v>82.220001220703125</v>
      </c>
      <c r="E71" s="40">
        <v>31.14999961853027</v>
      </c>
      <c r="F71" s="40">
        <v>100.18447113037109</v>
      </c>
      <c r="G71" s="40">
        <v>25.594499588012699</v>
      </c>
      <c r="H71" s="40">
        <v>50.283905029296882</v>
      </c>
      <c r="I71" s="40">
        <v>20.192012786865231</v>
      </c>
      <c r="J71" s="40">
        <v>120.80079650878911</v>
      </c>
      <c r="K71" s="40">
        <v>18.8551139831543</v>
      </c>
      <c r="L71" s="40">
        <v>49.423187255859382</v>
      </c>
      <c r="M71" s="40">
        <v>92.889724731445312</v>
      </c>
      <c r="N71" s="40">
        <v>97.553878784179688</v>
      </c>
      <c r="O71" s="40">
        <v>33.3150634765625</v>
      </c>
      <c r="P71" s="40">
        <v>52.253292083740227</v>
      </c>
      <c r="Q71" s="40">
        <v>5.6100001335144043</v>
      </c>
      <c r="R71" s="40">
        <v>115.8000030517578</v>
      </c>
      <c r="S71" s="40">
        <v>108.695182800293</v>
      </c>
      <c r="T71" s="40">
        <v>105.724365234375</v>
      </c>
      <c r="U71" s="40">
        <v>31.61763763427734</v>
      </c>
      <c r="V71" s="40">
        <v>139.0888671875</v>
      </c>
      <c r="W71" s="40">
        <v>88.6875</v>
      </c>
      <c r="X71" s="40">
        <v>110.3300018310547</v>
      </c>
      <c r="Y71" s="40">
        <v>69.138450622558594</v>
      </c>
      <c r="Z71" s="40">
        <v>45.540737152099609</v>
      </c>
      <c r="AA71" s="40">
        <v>28.692819595336911</v>
      </c>
      <c r="AB71" s="40">
        <v>59.270488739013672</v>
      </c>
      <c r="AC71" s="40">
        <v>75.163215637207031</v>
      </c>
      <c r="AD71" s="40">
        <v>50.790367126464837</v>
      </c>
      <c r="AE71" s="40">
        <v>23.2373046875</v>
      </c>
      <c r="AF71" s="40">
        <v>38.252368927001953</v>
      </c>
      <c r="AG71" s="40">
        <v>14.607553482055661</v>
      </c>
      <c r="AH71" s="40">
        <v>18.335739135742191</v>
      </c>
      <c r="AI71" s="40">
        <v>22.515804290771481</v>
      </c>
      <c r="AJ71" s="40">
        <v>0.59827268123626709</v>
      </c>
      <c r="AK71" s="40">
        <v>37.084648132324219</v>
      </c>
      <c r="AL71" s="40">
        <v>16.320858001708981</v>
      </c>
      <c r="AM71" s="40">
        <v>52.977283477783203</v>
      </c>
      <c r="AN71" s="40">
        <v>81.916282653808594</v>
      </c>
      <c r="AO71" s="40">
        <v>9.0600004196166992</v>
      </c>
      <c r="AP71" s="40">
        <v>28.481914520263668</v>
      </c>
      <c r="AQ71" s="40">
        <v>19.45742225646973</v>
      </c>
      <c r="AR71" s="40">
        <v>39.523487091064453</v>
      </c>
      <c r="AS71" s="40">
        <v>460.79168701171881</v>
      </c>
      <c r="AT71" s="40">
        <v>67.000885009765625</v>
      </c>
      <c r="AU71" s="40">
        <v>30.662649154663089</v>
      </c>
      <c r="AV71" s="40">
        <v>36.720134735107422</v>
      </c>
      <c r="AW71" s="40">
        <v>97.096038818359375</v>
      </c>
      <c r="AX71" s="40">
        <v>69.165260314941406</v>
      </c>
      <c r="AY71" s="40">
        <v>17.751262664794918</v>
      </c>
      <c r="AZ71" s="40">
        <v>1920.030029296875</v>
      </c>
    </row>
    <row r="72" spans="1:52" ht="16" x14ac:dyDescent="0.2">
      <c r="A72" s="41">
        <v>42278</v>
      </c>
      <c r="B72" s="42">
        <v>26.755868911743161</v>
      </c>
      <c r="C72" s="42">
        <v>36.431320190429688</v>
      </c>
      <c r="D72" s="42">
        <v>88.660003662109375</v>
      </c>
      <c r="E72" s="42">
        <v>24.979999542236332</v>
      </c>
      <c r="F72" s="42">
        <v>114.56899261474609</v>
      </c>
      <c r="G72" s="42">
        <v>31.295000076293949</v>
      </c>
      <c r="H72" s="42">
        <v>56.781490325927727</v>
      </c>
      <c r="I72" s="42">
        <v>22.324716567993161</v>
      </c>
      <c r="J72" s="42">
        <v>132.12300109863281</v>
      </c>
      <c r="K72" s="42">
        <v>20.889789581298832</v>
      </c>
      <c r="L72" s="42">
        <v>56.941925048828118</v>
      </c>
      <c r="M72" s="42">
        <v>103.3784484863281</v>
      </c>
      <c r="N72" s="42">
        <v>107.0051803588867</v>
      </c>
      <c r="O72" s="42">
        <v>35.623065948486328</v>
      </c>
      <c r="P72" s="42">
        <v>61.74176025390625</v>
      </c>
      <c r="Q72" s="42">
        <v>6.0199999809265137</v>
      </c>
      <c r="R72" s="42">
        <v>110.1999969482422</v>
      </c>
      <c r="S72" s="42">
        <v>117.6480331420898</v>
      </c>
      <c r="T72" s="42">
        <v>121.2350692749023</v>
      </c>
      <c r="U72" s="42">
        <v>36.52197265625</v>
      </c>
      <c r="V72" s="42">
        <v>150.08726501464841</v>
      </c>
      <c r="W72" s="42">
        <v>94.94610595703125</v>
      </c>
      <c r="X72" s="42">
        <v>117.5299987792969</v>
      </c>
      <c r="Y72" s="42">
        <v>74.826568603515625</v>
      </c>
      <c r="Z72" s="42">
        <v>48.336944580078118</v>
      </c>
      <c r="AA72" s="42">
        <v>30.287656784057621</v>
      </c>
      <c r="AB72" s="42">
        <v>59.261753082275391</v>
      </c>
      <c r="AC72" s="42">
        <v>85.629470825195312</v>
      </c>
      <c r="AD72" s="42">
        <v>56.086387634277337</v>
      </c>
      <c r="AE72" s="42">
        <v>24.435432434082031</v>
      </c>
      <c r="AF72" s="42">
        <v>45.494915008544922</v>
      </c>
      <c r="AG72" s="42">
        <v>16.148271560668949</v>
      </c>
      <c r="AH72" s="42">
        <v>19.296232223510739</v>
      </c>
      <c r="AI72" s="42">
        <v>26.012191772460941</v>
      </c>
      <c r="AJ72" s="42">
        <v>0.688559889793396</v>
      </c>
      <c r="AK72" s="42">
        <v>39.6715087890625</v>
      </c>
      <c r="AL72" s="42">
        <v>17.5128173828125</v>
      </c>
      <c r="AM72" s="42">
        <v>56.752479553222663</v>
      </c>
      <c r="AN72" s="42">
        <v>88.146286010742188</v>
      </c>
      <c r="AO72" s="42">
        <v>9.5900001525878906</v>
      </c>
      <c r="AP72" s="42">
        <v>31.28618049621582</v>
      </c>
      <c r="AQ72" s="42">
        <v>20.773942947387699</v>
      </c>
      <c r="AR72" s="42">
        <v>43.709018707275391</v>
      </c>
      <c r="AS72" s="42">
        <v>552.17938232421875</v>
      </c>
      <c r="AT72" s="42">
        <v>80.248893737792969</v>
      </c>
      <c r="AU72" s="42">
        <v>31.422552108764648</v>
      </c>
      <c r="AV72" s="42">
        <v>42.334465026855469</v>
      </c>
      <c r="AW72" s="42">
        <v>98.577445983886719</v>
      </c>
      <c r="AX72" s="42">
        <v>69.900634765625</v>
      </c>
      <c r="AY72" s="42">
        <v>15.67061233520508</v>
      </c>
      <c r="AZ72" s="42">
        <v>2079.360107421875</v>
      </c>
    </row>
    <row r="73" spans="1:52" ht="16" x14ac:dyDescent="0.2">
      <c r="A73" s="39">
        <v>42309</v>
      </c>
      <c r="B73" s="40">
        <v>26.600570678710941</v>
      </c>
      <c r="C73" s="40">
        <v>36.528919219970703</v>
      </c>
      <c r="D73" s="40">
        <v>91.459999084472656</v>
      </c>
      <c r="E73" s="40">
        <v>22.79000091552734</v>
      </c>
      <c r="F73" s="40">
        <v>117.274543762207</v>
      </c>
      <c r="G73" s="40">
        <v>33.240001678466797</v>
      </c>
      <c r="H73" s="40">
        <v>56.517002105712891</v>
      </c>
      <c r="I73" s="40">
        <v>21.697257995605469</v>
      </c>
      <c r="J73" s="40">
        <v>135.2290344238281</v>
      </c>
      <c r="K73" s="40">
        <v>19.731254577636719</v>
      </c>
      <c r="L73" s="40">
        <v>57.916435241699219</v>
      </c>
      <c r="M73" s="40">
        <v>103.133056640625</v>
      </c>
      <c r="N73" s="40">
        <v>105.94712066650391</v>
      </c>
      <c r="O73" s="40">
        <v>38.086734771728523</v>
      </c>
      <c r="P73" s="40">
        <v>60.001338958740227</v>
      </c>
      <c r="Q73" s="40">
        <v>5.7199997901916504</v>
      </c>
      <c r="R73" s="40">
        <v>103</v>
      </c>
      <c r="S73" s="40">
        <v>115.969367980957</v>
      </c>
      <c r="T73" s="40">
        <v>125.5110244750977</v>
      </c>
      <c r="U73" s="40">
        <v>37.782974243164062</v>
      </c>
      <c r="V73" s="40">
        <v>152.62522888183591</v>
      </c>
      <c r="W73" s="40">
        <v>102.8096466064453</v>
      </c>
      <c r="X73" s="40">
        <v>114.2399978637695</v>
      </c>
      <c r="Y73" s="40">
        <v>75.53485107421875</v>
      </c>
      <c r="Z73" s="40">
        <v>50.165103912353523</v>
      </c>
      <c r="AA73" s="40">
        <v>30.714519500732418</v>
      </c>
      <c r="AB73" s="40">
        <v>61.23626708984375</v>
      </c>
      <c r="AC73" s="40">
        <v>87.769332885742188</v>
      </c>
      <c r="AD73" s="40">
        <v>57.163814544677727</v>
      </c>
      <c r="AE73" s="40">
        <v>25.421150207519531</v>
      </c>
      <c r="AF73" s="40">
        <v>47.2894287109375</v>
      </c>
      <c r="AG73" s="40">
        <v>15.53393650054932</v>
      </c>
      <c r="AH73" s="40">
        <v>18.914873123168949</v>
      </c>
      <c r="AI73" s="40">
        <v>23.456880569458011</v>
      </c>
      <c r="AJ73" s="40">
        <v>0.77278995513916016</v>
      </c>
      <c r="AK73" s="40">
        <v>41.550407409667969</v>
      </c>
      <c r="AL73" s="40">
        <v>15.22045803070068</v>
      </c>
      <c r="AM73" s="40">
        <v>55.608207702636719</v>
      </c>
      <c r="AN73" s="40">
        <v>88.638504028320312</v>
      </c>
      <c r="AO73" s="40">
        <v>10.97000026702881</v>
      </c>
      <c r="AP73" s="40">
        <v>31.300821304321289</v>
      </c>
      <c r="AQ73" s="40">
        <v>21.701658248901371</v>
      </c>
      <c r="AR73" s="40">
        <v>36.243961334228523</v>
      </c>
      <c r="AS73" s="40">
        <v>539.40985107421875</v>
      </c>
      <c r="AT73" s="40">
        <v>83.237037658691406</v>
      </c>
      <c r="AU73" s="40">
        <v>30.398134231567379</v>
      </c>
      <c r="AV73" s="40">
        <v>43.37939453125</v>
      </c>
      <c r="AW73" s="40">
        <v>94.33404541015625</v>
      </c>
      <c r="AX73" s="40">
        <v>66.104827880859375</v>
      </c>
      <c r="AY73" s="40">
        <v>16.108642578125</v>
      </c>
      <c r="AZ73" s="40">
        <v>2080.409912109375</v>
      </c>
    </row>
    <row r="74" spans="1:52" ht="16" x14ac:dyDescent="0.2">
      <c r="A74" s="41">
        <v>42339</v>
      </c>
      <c r="B74" s="42">
        <v>23.668436050415039</v>
      </c>
      <c r="C74" s="42">
        <v>36.520774841308587</v>
      </c>
      <c r="D74" s="42">
        <v>93.94000244140625</v>
      </c>
      <c r="E74" s="42">
        <v>23.280000686645511</v>
      </c>
      <c r="F74" s="42">
        <v>118.16993713378911</v>
      </c>
      <c r="G74" s="42">
        <v>33.794498443603523</v>
      </c>
      <c r="H74" s="42">
        <v>52.868473052978523</v>
      </c>
      <c r="I74" s="42">
        <v>20.117912292480469</v>
      </c>
      <c r="J74" s="42">
        <v>135.2960510253906</v>
      </c>
      <c r="K74" s="42">
        <v>19.666082382202148</v>
      </c>
      <c r="L74" s="42">
        <v>57.053909301757812</v>
      </c>
      <c r="M74" s="42">
        <v>96.119590759277344</v>
      </c>
      <c r="N74" s="42">
        <v>102.0050354003906</v>
      </c>
      <c r="O74" s="42">
        <v>36.433773040771477</v>
      </c>
      <c r="P74" s="42">
        <v>50.910892486572273</v>
      </c>
      <c r="Q74" s="42">
        <v>5.6399998664855957</v>
      </c>
      <c r="R74" s="42">
        <v>96.959999084472656</v>
      </c>
      <c r="S74" s="42">
        <v>108.7638397216797</v>
      </c>
      <c r="T74" s="42">
        <v>131.56013488769531</v>
      </c>
      <c r="U74" s="42">
        <v>38.533824920654297</v>
      </c>
      <c r="V74" s="42">
        <v>144.7618713378906</v>
      </c>
      <c r="W74" s="42">
        <v>102.00746154785161</v>
      </c>
      <c r="X74" s="42">
        <v>108.4499969482422</v>
      </c>
      <c r="Y74" s="42">
        <v>76.639076232910156</v>
      </c>
      <c r="Z74" s="42">
        <v>49.676097869873047</v>
      </c>
      <c r="AA74" s="42">
        <v>30.959537506103519</v>
      </c>
      <c r="AB74" s="42">
        <v>63.553684234619141</v>
      </c>
      <c r="AC74" s="42">
        <v>90.829254150390625</v>
      </c>
      <c r="AD74" s="42">
        <v>58.653305053710938</v>
      </c>
      <c r="AE74" s="42">
        <v>23.57570838928223</v>
      </c>
      <c r="AF74" s="42">
        <v>48.272621154785163</v>
      </c>
      <c r="AG74" s="42">
        <v>13.807944297790529</v>
      </c>
      <c r="AH74" s="42">
        <v>19.67820930480957</v>
      </c>
      <c r="AI74" s="42">
        <v>20.297163009643551</v>
      </c>
      <c r="AJ74" s="42">
        <v>0.80299991369247437</v>
      </c>
      <c r="AK74" s="42">
        <v>35.641773223876953</v>
      </c>
      <c r="AL74" s="42">
        <v>12.73190402984619</v>
      </c>
      <c r="AM74" s="42">
        <v>59.003829956054688</v>
      </c>
      <c r="AN74" s="42">
        <v>82.134162902832031</v>
      </c>
      <c r="AO74" s="42">
        <v>12.44999980926514</v>
      </c>
      <c r="AP74" s="42">
        <v>31.727533340454102</v>
      </c>
      <c r="AQ74" s="42">
        <v>22.949277877807621</v>
      </c>
      <c r="AR74" s="42">
        <v>37.135387420654297</v>
      </c>
      <c r="AS74" s="42">
        <v>537.794921875</v>
      </c>
      <c r="AT74" s="42">
        <v>78.271209716796875</v>
      </c>
      <c r="AU74" s="42">
        <v>30.531610488891602</v>
      </c>
      <c r="AV74" s="42">
        <v>40.908889770507812</v>
      </c>
      <c r="AW74" s="42">
        <v>98.88555908203125</v>
      </c>
      <c r="AX74" s="42">
        <v>61.57708740234375</v>
      </c>
      <c r="AY74" s="42">
        <v>16.92269134521484</v>
      </c>
      <c r="AZ74" s="42">
        <v>2043.93994140625</v>
      </c>
    </row>
    <row r="75" spans="1:52" ht="16" x14ac:dyDescent="0.2">
      <c r="A75" s="39">
        <v>42370</v>
      </c>
      <c r="B75" s="40">
        <v>21.887563705444339</v>
      </c>
      <c r="C75" s="40">
        <v>30.973831176757809</v>
      </c>
      <c r="D75" s="40">
        <v>89.129997253417969</v>
      </c>
      <c r="E75" s="40">
        <v>21.20999908447266</v>
      </c>
      <c r="F75" s="40">
        <v>111.18153381347661</v>
      </c>
      <c r="G75" s="40">
        <v>29.35000038146973</v>
      </c>
      <c r="H75" s="40">
        <v>49.024917602539062</v>
      </c>
      <c r="I75" s="40">
        <v>19.949611663818359</v>
      </c>
      <c r="J75" s="40">
        <v>126.60023498535161</v>
      </c>
      <c r="K75" s="40">
        <v>17.36015701293945</v>
      </c>
      <c r="L75" s="40">
        <v>54.840488433837891</v>
      </c>
      <c r="M75" s="40">
        <v>87.649208068847656</v>
      </c>
      <c r="N75" s="40">
        <v>96.199363708496094</v>
      </c>
      <c r="O75" s="40">
        <v>35.024562835693359</v>
      </c>
      <c r="P75" s="40">
        <v>51.213031768798828</v>
      </c>
      <c r="Q75" s="40">
        <v>4.619999885559082</v>
      </c>
      <c r="R75" s="40">
        <v>93.779998779296875</v>
      </c>
      <c r="S75" s="40">
        <v>106.4757461547852</v>
      </c>
      <c r="T75" s="40">
        <v>122.90212249755859</v>
      </c>
      <c r="U75" s="40">
        <v>37.708683013916023</v>
      </c>
      <c r="V75" s="40">
        <v>129.7659912109375</v>
      </c>
      <c r="W75" s="40">
        <v>97.001594543457031</v>
      </c>
      <c r="X75" s="40">
        <v>70.55999755859375</v>
      </c>
      <c r="Y75" s="40">
        <v>77.922340393066406</v>
      </c>
      <c r="Z75" s="40">
        <v>45.063686370849609</v>
      </c>
      <c r="AA75" s="40">
        <v>30.930709838867191</v>
      </c>
      <c r="AB75" s="40">
        <v>61.745376586914062</v>
      </c>
      <c r="AC75" s="40">
        <v>95.165435791015625</v>
      </c>
      <c r="AD75" s="40">
        <v>57.890781402587891</v>
      </c>
      <c r="AE75" s="40">
        <v>19.294279098510739</v>
      </c>
      <c r="AF75" s="40">
        <v>47.933292388916023</v>
      </c>
      <c r="AG75" s="40">
        <v>10.755763053894039</v>
      </c>
      <c r="AH75" s="40">
        <v>21.159427642822269</v>
      </c>
      <c r="AI75" s="40">
        <v>16.897609710693359</v>
      </c>
      <c r="AJ75" s="40">
        <v>0.71358823776245117</v>
      </c>
      <c r="AK75" s="40">
        <v>32.155494689941413</v>
      </c>
      <c r="AL75" s="40">
        <v>13.212272644042971</v>
      </c>
      <c r="AM75" s="40">
        <v>61.226974487304688</v>
      </c>
      <c r="AN75" s="40">
        <v>82.286582946777344</v>
      </c>
      <c r="AO75" s="40">
        <v>11.939999580383301</v>
      </c>
      <c r="AP75" s="40">
        <v>29.17720794677734</v>
      </c>
      <c r="AQ75" s="40">
        <v>23.306087493896481</v>
      </c>
      <c r="AR75" s="40">
        <v>33.681110382080078</v>
      </c>
      <c r="AS75" s="40">
        <v>416.16275024414062</v>
      </c>
      <c r="AT75" s="40">
        <v>77.086296081542969</v>
      </c>
      <c r="AU75" s="40">
        <v>30.673688888549801</v>
      </c>
      <c r="AV75" s="40">
        <v>39.804206848144531</v>
      </c>
      <c r="AW75" s="40">
        <v>96.800941467285156</v>
      </c>
      <c r="AX75" s="40">
        <v>56.695018768310547</v>
      </c>
      <c r="AY75" s="40">
        <v>18.319570541381839</v>
      </c>
      <c r="AZ75" s="40">
        <v>1940.239990234375</v>
      </c>
    </row>
    <row r="76" spans="1:52" ht="16" x14ac:dyDescent="0.2">
      <c r="A76" s="41">
        <v>42401</v>
      </c>
      <c r="B76" s="42">
        <v>21.8593864440918</v>
      </c>
      <c r="C76" s="42">
        <v>31.702146530151371</v>
      </c>
      <c r="D76" s="42">
        <v>85.150001525878906</v>
      </c>
      <c r="E76" s="42">
        <v>22.70000076293945</v>
      </c>
      <c r="F76" s="42">
        <v>104.2945251464844</v>
      </c>
      <c r="G76" s="42">
        <v>27.62599945068359</v>
      </c>
      <c r="H76" s="42">
        <v>53.325626373291023</v>
      </c>
      <c r="I76" s="42">
        <v>20.6729621887207</v>
      </c>
      <c r="J76" s="42">
        <v>126.0279006958008</v>
      </c>
      <c r="K76" s="42">
        <v>19.104190826416019</v>
      </c>
      <c r="L76" s="42">
        <v>53.590023040771477</v>
      </c>
      <c r="M76" s="42">
        <v>87.374801635742188</v>
      </c>
      <c r="N76" s="42">
        <v>91.454940795898438</v>
      </c>
      <c r="O76" s="42">
        <v>37.575984954833977</v>
      </c>
      <c r="P76" s="42">
        <v>46.684486389160163</v>
      </c>
      <c r="Q76" s="42">
        <v>3.6400001049041748</v>
      </c>
      <c r="R76" s="42">
        <v>96.169998168945312</v>
      </c>
      <c r="S76" s="42">
        <v>108.4656448364258</v>
      </c>
      <c r="T76" s="42">
        <v>124.05625152587891</v>
      </c>
      <c r="U76" s="42">
        <v>35.522975921630859</v>
      </c>
      <c r="V76" s="42">
        <v>120.62526702880859</v>
      </c>
      <c r="W76" s="42">
        <v>95.736610412597656</v>
      </c>
      <c r="X76" s="42">
        <v>73.5</v>
      </c>
      <c r="Y76" s="42">
        <v>79.065719604492188</v>
      </c>
      <c r="Z76" s="42">
        <v>42.640087127685547</v>
      </c>
      <c r="AA76" s="42">
        <v>31.082065582275391</v>
      </c>
      <c r="AB76" s="42">
        <v>63.807952880859382</v>
      </c>
      <c r="AC76" s="42">
        <v>90.781440734863281</v>
      </c>
      <c r="AD76" s="42">
        <v>59.011680603027337</v>
      </c>
      <c r="AE76" s="42">
        <v>18.414554595947269</v>
      </c>
      <c r="AF76" s="42">
        <v>44.588069915771477</v>
      </c>
      <c r="AG76" s="42">
        <v>10.365707397460939</v>
      </c>
      <c r="AH76" s="42">
        <v>21.530990600585941</v>
      </c>
      <c r="AI76" s="42">
        <v>19.139837265014648</v>
      </c>
      <c r="AJ76" s="42">
        <v>0.76680284738540649</v>
      </c>
      <c r="AK76" s="42">
        <v>26.49809455871582</v>
      </c>
      <c r="AL76" s="42">
        <v>12.72960758209229</v>
      </c>
      <c r="AM76" s="42">
        <v>60.177696228027337</v>
      </c>
      <c r="AN76" s="42">
        <v>86.243392944335938</v>
      </c>
      <c r="AO76" s="42">
        <v>10.170000076293951</v>
      </c>
      <c r="AP76" s="42">
        <v>28.43058967590332</v>
      </c>
      <c r="AQ76" s="42">
        <v>18.478029251098629</v>
      </c>
      <c r="AR76" s="42">
        <v>38.083816528320312</v>
      </c>
      <c r="AS76" s="42">
        <v>380.42996215820312</v>
      </c>
      <c r="AT76" s="42">
        <v>81.822296142578125</v>
      </c>
      <c r="AU76" s="42">
        <v>32.003925323486328</v>
      </c>
      <c r="AV76" s="42">
        <v>39.871894836425781</v>
      </c>
      <c r="AW76" s="42">
        <v>100.11280822753911</v>
      </c>
      <c r="AX76" s="42">
        <v>62.526210784912109</v>
      </c>
      <c r="AY76" s="42">
        <v>18.314044952392582</v>
      </c>
      <c r="AZ76" s="42">
        <v>1932.22998046875</v>
      </c>
    </row>
    <row r="77" spans="1:52" ht="16" x14ac:dyDescent="0.2">
      <c r="A77" s="39">
        <v>42430</v>
      </c>
      <c r="B77" s="40">
        <v>24.640130996704102</v>
      </c>
      <c r="C77" s="40">
        <v>34.230792999267578</v>
      </c>
      <c r="D77" s="40">
        <v>93.800003051757812</v>
      </c>
      <c r="E77" s="40">
        <v>17.190000534057621</v>
      </c>
      <c r="F77" s="40">
        <v>109.9021682739258</v>
      </c>
      <c r="G77" s="40">
        <v>29.681999206542969</v>
      </c>
      <c r="H77" s="40">
        <v>60.288639068603523</v>
      </c>
      <c r="I77" s="40">
        <v>21.872598648071289</v>
      </c>
      <c r="J77" s="40">
        <v>132.3699645996094</v>
      </c>
      <c r="K77" s="40">
        <v>20.775266647338871</v>
      </c>
      <c r="L77" s="40">
        <v>61.271442413330078</v>
      </c>
      <c r="M77" s="40">
        <v>90.841606140136719</v>
      </c>
      <c r="N77" s="40">
        <v>99.786247253417969</v>
      </c>
      <c r="O77" s="40">
        <v>41.846874237060547</v>
      </c>
      <c r="P77" s="40">
        <v>52.337970733642578</v>
      </c>
      <c r="Q77" s="40">
        <v>4</v>
      </c>
      <c r="R77" s="40">
        <v>105.84999847412109</v>
      </c>
      <c r="S77" s="40">
        <v>104.5654678344727</v>
      </c>
      <c r="T77" s="40">
        <v>135.33799743652341</v>
      </c>
      <c r="U77" s="40">
        <v>37.785449981689453</v>
      </c>
      <c r="V77" s="40">
        <v>126.6351013183594</v>
      </c>
      <c r="W77" s="40">
        <v>103.4835586547852</v>
      </c>
      <c r="X77" s="40">
        <v>72.470001220703125</v>
      </c>
      <c r="Y77" s="40">
        <v>81.312721252441406</v>
      </c>
      <c r="Z77" s="40">
        <v>44.85162353515625</v>
      </c>
      <c r="AA77" s="40">
        <v>33.692127227783203</v>
      </c>
      <c r="AB77" s="40">
        <v>63.111675262451172</v>
      </c>
      <c r="AC77" s="40">
        <v>97.358207702636719</v>
      </c>
      <c r="AD77" s="40">
        <v>57.479679107666023</v>
      </c>
      <c r="AE77" s="40">
        <v>18.64567756652832</v>
      </c>
      <c r="AF77" s="40">
        <v>48.400119781494141</v>
      </c>
      <c r="AG77" s="40">
        <v>10.20968437194824</v>
      </c>
      <c r="AH77" s="40">
        <v>22.584453582763668</v>
      </c>
      <c r="AI77" s="40">
        <v>21.02762413024902</v>
      </c>
      <c r="AJ77" s="40">
        <v>0.87121117115020752</v>
      </c>
      <c r="AK77" s="40">
        <v>31.889814376831051</v>
      </c>
      <c r="AL77" s="40">
        <v>15.837759017944339</v>
      </c>
      <c r="AM77" s="40">
        <v>61.691677093505859</v>
      </c>
      <c r="AN77" s="40">
        <v>94.663230895996094</v>
      </c>
      <c r="AO77" s="40">
        <v>10.409999847412109</v>
      </c>
      <c r="AP77" s="40">
        <v>32.986087799072273</v>
      </c>
      <c r="AQ77" s="40">
        <v>19.8117790222168</v>
      </c>
      <c r="AR77" s="40">
        <v>38.346248626708977</v>
      </c>
      <c r="AS77" s="40">
        <v>357.07046508789062</v>
      </c>
      <c r="AT77" s="40">
        <v>86.108505249023438</v>
      </c>
      <c r="AU77" s="40">
        <v>33.839519500732422</v>
      </c>
      <c r="AV77" s="40">
        <v>43.180767059326172</v>
      </c>
      <c r="AW77" s="40">
        <v>108.7975769042969</v>
      </c>
      <c r="AX77" s="40">
        <v>63.073268890380859</v>
      </c>
      <c r="AY77" s="40">
        <v>19.047561645507809</v>
      </c>
      <c r="AZ77" s="40">
        <v>2059.739990234375</v>
      </c>
    </row>
    <row r="78" spans="1:52" ht="16" x14ac:dyDescent="0.2">
      <c r="A78" s="41">
        <v>42461</v>
      </c>
      <c r="B78" s="42">
        <v>21.19245529174805</v>
      </c>
      <c r="C78" s="42">
        <v>32.027542114257812</v>
      </c>
      <c r="D78" s="42">
        <v>94.220001220703125</v>
      </c>
      <c r="E78" s="42">
        <v>18.5</v>
      </c>
      <c r="F78" s="42">
        <v>116.0375442504883</v>
      </c>
      <c r="G78" s="42">
        <v>32.979499816894531</v>
      </c>
      <c r="H78" s="42">
        <v>61.815029144287109</v>
      </c>
      <c r="I78" s="42">
        <v>21.855136871337891</v>
      </c>
      <c r="J78" s="42">
        <v>124.79991149902339</v>
      </c>
      <c r="K78" s="42">
        <v>20.243587493896481</v>
      </c>
      <c r="L78" s="42">
        <v>65.625961303710938</v>
      </c>
      <c r="M78" s="42">
        <v>94.454795837402344</v>
      </c>
      <c r="N78" s="42">
        <v>102.882194519043</v>
      </c>
      <c r="O78" s="42">
        <v>42.039249420166023</v>
      </c>
      <c r="P78" s="42">
        <v>59.707313537597663</v>
      </c>
      <c r="Q78" s="42">
        <v>4.6100001335144043</v>
      </c>
      <c r="R78" s="42">
        <v>104.75</v>
      </c>
      <c r="S78" s="42">
        <v>112.5019836425781</v>
      </c>
      <c r="T78" s="42">
        <v>130.9104309082031</v>
      </c>
      <c r="U78" s="42">
        <v>35.060375213623047</v>
      </c>
      <c r="V78" s="42">
        <v>132.3868713378906</v>
      </c>
      <c r="W78" s="42">
        <v>103.8403244018555</v>
      </c>
      <c r="X78" s="42">
        <v>72.269996643066406</v>
      </c>
      <c r="Y78" s="42">
        <v>84.228569030761719</v>
      </c>
      <c r="Z78" s="42">
        <v>48.220359802246087</v>
      </c>
      <c r="AA78" s="42">
        <v>32.537334442138672</v>
      </c>
      <c r="AB78" s="42">
        <v>67.386100769042969</v>
      </c>
      <c r="AC78" s="42">
        <v>97.985679626464844</v>
      </c>
      <c r="AD78" s="42">
        <v>60.660198211669922</v>
      </c>
      <c r="AE78" s="42">
        <v>20.28444862365723</v>
      </c>
      <c r="AF78" s="42">
        <v>43.702964782714837</v>
      </c>
      <c r="AG78" s="42">
        <v>10.482723236083981</v>
      </c>
      <c r="AH78" s="42">
        <v>22.439411163330082</v>
      </c>
      <c r="AI78" s="42">
        <v>18.33917236328125</v>
      </c>
      <c r="AJ78" s="42">
        <v>0.86876624822616577</v>
      </c>
      <c r="AK78" s="42">
        <v>35.161304473876953</v>
      </c>
      <c r="AL78" s="42">
        <v>19.497442245483398</v>
      </c>
      <c r="AM78" s="42">
        <v>60.542190551757812</v>
      </c>
      <c r="AN78" s="42">
        <v>98.87310791015625</v>
      </c>
      <c r="AO78" s="42">
        <v>10.579999923706049</v>
      </c>
      <c r="AP78" s="42">
        <v>33.904449462890618</v>
      </c>
      <c r="AQ78" s="42">
        <v>19.782245635986332</v>
      </c>
      <c r="AR78" s="42">
        <v>37.881359100341797</v>
      </c>
      <c r="AS78" s="42">
        <v>373.18829345703119</v>
      </c>
      <c r="AT78" s="42">
        <v>86.907089233398438</v>
      </c>
      <c r="AU78" s="42">
        <v>32.746807098388672</v>
      </c>
      <c r="AV78" s="42">
        <v>43.168769836425781</v>
      </c>
      <c r="AW78" s="42">
        <v>111.14404296875</v>
      </c>
      <c r="AX78" s="42">
        <v>69.162567138671875</v>
      </c>
      <c r="AY78" s="42">
        <v>18.59702110290527</v>
      </c>
      <c r="AZ78" s="42">
        <v>2065.300048828125</v>
      </c>
    </row>
    <row r="79" spans="1:52" ht="16" x14ac:dyDescent="0.2">
      <c r="A79" s="39">
        <v>42491</v>
      </c>
      <c r="B79" s="40">
        <v>22.713502883911129</v>
      </c>
      <c r="C79" s="40">
        <v>32.628582000732422</v>
      </c>
      <c r="D79" s="40">
        <v>99.470001220703125</v>
      </c>
      <c r="E79" s="40">
        <v>20</v>
      </c>
      <c r="F79" s="40">
        <v>116.54319763183589</v>
      </c>
      <c r="G79" s="40">
        <v>36.139499664306641</v>
      </c>
      <c r="H79" s="40">
        <v>57.671245574951172</v>
      </c>
      <c r="I79" s="40">
        <v>22.768777847290039</v>
      </c>
      <c r="J79" s="40">
        <v>125.3390426635742</v>
      </c>
      <c r="K79" s="40">
        <v>21.392374038696289</v>
      </c>
      <c r="L79" s="40">
        <v>65.553802490234375</v>
      </c>
      <c r="M79" s="40">
        <v>90.75927734375</v>
      </c>
      <c r="N79" s="40">
        <v>104.9043884277344</v>
      </c>
      <c r="O79" s="40">
        <v>40.389381408691413</v>
      </c>
      <c r="P79" s="40">
        <v>58.796745300292969</v>
      </c>
      <c r="Q79" s="40">
        <v>6.4899997711181641</v>
      </c>
      <c r="R79" s="40">
        <v>110.1999969482422</v>
      </c>
      <c r="S79" s="40">
        <v>113.5828094482422</v>
      </c>
      <c r="T79" s="40">
        <v>128.69670104980469</v>
      </c>
      <c r="U79" s="40">
        <v>37.089572906494141</v>
      </c>
      <c r="V79" s="40">
        <v>129.17919921875</v>
      </c>
      <c r="W79" s="40">
        <v>102.99814605712891</v>
      </c>
      <c r="X79" s="40">
        <v>84.410003662109375</v>
      </c>
      <c r="Y79" s="40">
        <v>85.291633605957031</v>
      </c>
      <c r="Z79" s="40">
        <v>49.799736022949219</v>
      </c>
      <c r="AA79" s="40">
        <v>32.392078399658203</v>
      </c>
      <c r="AB79" s="40">
        <v>63.129402160644531</v>
      </c>
      <c r="AC79" s="40">
        <v>94.553993225097656</v>
      </c>
      <c r="AD79" s="40">
        <v>61.679527282714837</v>
      </c>
      <c r="AE79" s="40">
        <v>20.51683235168457</v>
      </c>
      <c r="AF79" s="40">
        <v>46.770767211914062</v>
      </c>
      <c r="AG79" s="40">
        <v>12.403743743896481</v>
      </c>
      <c r="AH79" s="40">
        <v>23.092836380004879</v>
      </c>
      <c r="AI79" s="40">
        <v>19.80537223815918</v>
      </c>
      <c r="AJ79" s="40">
        <v>1.1453462839126589</v>
      </c>
      <c r="AK79" s="40">
        <v>31.98625564575195</v>
      </c>
      <c r="AL79" s="40">
        <v>23.32681846618652</v>
      </c>
      <c r="AM79" s="40">
        <v>61.237388610839837</v>
      </c>
      <c r="AN79" s="40">
        <v>98.421371459960938</v>
      </c>
      <c r="AO79" s="40">
        <v>9.6000003814697266</v>
      </c>
      <c r="AP79" s="40">
        <v>35.487293243408203</v>
      </c>
      <c r="AQ79" s="40">
        <v>21.53924560546875</v>
      </c>
      <c r="AR79" s="40">
        <v>41.575935363769531</v>
      </c>
      <c r="AS79" s="40">
        <v>395.20062255859381</v>
      </c>
      <c r="AT79" s="40">
        <v>88.303886413574219</v>
      </c>
      <c r="AU79" s="40">
        <v>32.986644744873047</v>
      </c>
      <c r="AV79" s="40">
        <v>45.863033294677727</v>
      </c>
      <c r="AW79" s="40">
        <v>112.8236770629883</v>
      </c>
      <c r="AX79" s="40">
        <v>67.197990417480469</v>
      </c>
      <c r="AY79" s="40">
        <v>19.828548431396481</v>
      </c>
      <c r="AZ79" s="40">
        <v>2096.949951171875</v>
      </c>
    </row>
    <row r="80" spans="1:52" ht="16" x14ac:dyDescent="0.2">
      <c r="A80" s="41">
        <v>42522</v>
      </c>
      <c r="B80" s="42">
        <v>21.744552612304691</v>
      </c>
      <c r="C80" s="42">
        <v>32.365108489990227</v>
      </c>
      <c r="D80" s="42">
        <v>95.790000915527344</v>
      </c>
      <c r="E80" s="42">
        <v>17.430000305175781</v>
      </c>
      <c r="F80" s="42">
        <v>112.2637100219727</v>
      </c>
      <c r="G80" s="42">
        <v>35.780998229980469</v>
      </c>
      <c r="H80" s="42">
        <v>60.295917510986328</v>
      </c>
      <c r="I80" s="42">
        <v>23.448593139648441</v>
      </c>
      <c r="J80" s="42">
        <v>132.30657958984381</v>
      </c>
      <c r="K80" s="42">
        <v>21.12726974487305</v>
      </c>
      <c r="L80" s="42">
        <v>68.039665222167969</v>
      </c>
      <c r="M80" s="42">
        <v>89.478668212890625</v>
      </c>
      <c r="N80" s="42">
        <v>106.4335250854492</v>
      </c>
      <c r="O80" s="42">
        <v>40.498081207275391</v>
      </c>
      <c r="P80" s="42">
        <v>60.285438537597663</v>
      </c>
      <c r="Q80" s="42">
        <v>7.809999942779541</v>
      </c>
      <c r="R80" s="42">
        <v>113.8399963378906</v>
      </c>
      <c r="S80" s="42">
        <v>112.1133346557617</v>
      </c>
      <c r="T80" s="42">
        <v>135.03349304199219</v>
      </c>
      <c r="U80" s="42">
        <v>34.844924926757812</v>
      </c>
      <c r="V80" s="42">
        <v>120.35020446777339</v>
      </c>
      <c r="W80" s="42">
        <v>99.544631958007812</v>
      </c>
      <c r="X80" s="42">
        <v>79.980003356933594</v>
      </c>
      <c r="Y80" s="42">
        <v>91.808258056640625</v>
      </c>
      <c r="Z80" s="42">
        <v>47.411605834960938</v>
      </c>
      <c r="AA80" s="42">
        <v>33.174732208251953</v>
      </c>
      <c r="AB80" s="42">
        <v>60.049942016601562</v>
      </c>
      <c r="AC80" s="42">
        <v>93.906829833984375</v>
      </c>
      <c r="AD80" s="42">
        <v>66.500129699707031</v>
      </c>
      <c r="AE80" s="42">
        <v>19.47486686706543</v>
      </c>
      <c r="AF80" s="42">
        <v>45.155853271484382</v>
      </c>
      <c r="AG80" s="42">
        <v>13.417887687683111</v>
      </c>
      <c r="AH80" s="42">
        <v>25.069150924682621</v>
      </c>
      <c r="AI80" s="42">
        <v>19.076145172119141</v>
      </c>
      <c r="AJ80" s="42">
        <v>1.152455806732178</v>
      </c>
      <c r="AK80" s="42">
        <v>28.89018630981445</v>
      </c>
      <c r="AL80" s="42">
        <v>25.592086791992191</v>
      </c>
      <c r="AM80" s="42">
        <v>63.980377197265618</v>
      </c>
      <c r="AN80" s="42">
        <v>92.602157592773438</v>
      </c>
      <c r="AO80" s="42">
        <v>8.9099998474121094</v>
      </c>
      <c r="AP80" s="42">
        <v>36.928936004638672</v>
      </c>
      <c r="AQ80" s="42">
        <v>20.12675666809082</v>
      </c>
      <c r="AR80" s="42">
        <v>40.553951263427727</v>
      </c>
      <c r="AS80" s="42">
        <v>345.9652099609375</v>
      </c>
      <c r="AT80" s="42">
        <v>89.086555480957031</v>
      </c>
      <c r="AU80" s="42">
        <v>33.467658996582031</v>
      </c>
      <c r="AV80" s="42">
        <v>47.414505004882812</v>
      </c>
      <c r="AW80" s="42">
        <v>119.7221221923828</v>
      </c>
      <c r="AX80" s="42">
        <v>69.640388488769531</v>
      </c>
      <c r="AY80" s="42">
        <v>20.456069946289059</v>
      </c>
      <c r="AZ80" s="42">
        <v>2098.860107421875</v>
      </c>
    </row>
    <row r="81" spans="1:52" ht="16" x14ac:dyDescent="0.2">
      <c r="A81" s="39">
        <v>42552</v>
      </c>
      <c r="B81" s="40">
        <v>23.702926635742191</v>
      </c>
      <c r="C81" s="40">
        <v>37.070980072021477</v>
      </c>
      <c r="D81" s="40">
        <v>97.860000610351562</v>
      </c>
      <c r="E81" s="40">
        <v>18.860000610351559</v>
      </c>
      <c r="F81" s="40">
        <v>126.9321594238281</v>
      </c>
      <c r="G81" s="40">
        <v>37.940498352050781</v>
      </c>
      <c r="H81" s="40">
        <v>66.457725524902344</v>
      </c>
      <c r="I81" s="40">
        <v>24.292047500610352</v>
      </c>
      <c r="J81" s="40">
        <v>140.8831787109375</v>
      </c>
      <c r="K81" s="40">
        <v>22.687055587768551</v>
      </c>
      <c r="L81" s="40">
        <v>66.514404296875</v>
      </c>
      <c r="M81" s="40">
        <v>88.40570068359375</v>
      </c>
      <c r="N81" s="40">
        <v>106.2360763549805</v>
      </c>
      <c r="O81" s="40">
        <v>43.401889801025391</v>
      </c>
      <c r="P81" s="40">
        <v>59.1591796875</v>
      </c>
      <c r="Q81" s="40">
        <v>9.1800003051757812</v>
      </c>
      <c r="R81" s="40">
        <v>123.4199981689453</v>
      </c>
      <c r="S81" s="40">
        <v>118.27296447753911</v>
      </c>
      <c r="T81" s="40">
        <v>133.57514953613281</v>
      </c>
      <c r="U81" s="40">
        <v>39.194042205810547</v>
      </c>
      <c r="V81" s="40">
        <v>128.63655090332031</v>
      </c>
      <c r="W81" s="40">
        <v>107.7691955566406</v>
      </c>
      <c r="X81" s="40">
        <v>90.209999084472656</v>
      </c>
      <c r="Y81" s="40">
        <v>94.782760620117188</v>
      </c>
      <c r="Z81" s="40">
        <v>49.187797546386719</v>
      </c>
      <c r="AA81" s="40">
        <v>31.930601119995121</v>
      </c>
      <c r="AB81" s="40">
        <v>62.085224151611328</v>
      </c>
      <c r="AC81" s="40">
        <v>91.807670593261719</v>
      </c>
      <c r="AD81" s="40">
        <v>67.49261474609375</v>
      </c>
      <c r="AE81" s="40">
        <v>21.684661865234379</v>
      </c>
      <c r="AF81" s="40">
        <v>50.018238067626953</v>
      </c>
      <c r="AG81" s="40">
        <v>13.398385047912599</v>
      </c>
      <c r="AH81" s="40">
        <v>24.663507461547852</v>
      </c>
      <c r="AI81" s="40">
        <v>20.59489631652832</v>
      </c>
      <c r="AJ81" s="40">
        <v>1.399813294410706</v>
      </c>
      <c r="AK81" s="40">
        <v>26.974489212036129</v>
      </c>
      <c r="AL81" s="40">
        <v>24.157419204711911</v>
      </c>
      <c r="AM81" s="40">
        <v>65.182365417480469</v>
      </c>
      <c r="AN81" s="40">
        <v>97.864303588867188</v>
      </c>
      <c r="AO81" s="40">
        <v>9.6599998474121094</v>
      </c>
      <c r="AP81" s="40">
        <v>41.032989501953118</v>
      </c>
      <c r="AQ81" s="40">
        <v>20.69765663146973</v>
      </c>
      <c r="AR81" s="40">
        <v>47.374752044677727</v>
      </c>
      <c r="AS81" s="40">
        <v>421.145751953125</v>
      </c>
      <c r="AT81" s="40">
        <v>90.924919128417969</v>
      </c>
      <c r="AU81" s="40">
        <v>35.41339111328125</v>
      </c>
      <c r="AV81" s="40">
        <v>53.07086181640625</v>
      </c>
      <c r="AW81" s="40">
        <v>121.4178924560547</v>
      </c>
      <c r="AX81" s="40">
        <v>74.269805908203125</v>
      </c>
      <c r="AY81" s="40">
        <v>20.442058563232418</v>
      </c>
      <c r="AZ81" s="40">
        <v>2173.60009765625</v>
      </c>
    </row>
    <row r="82" spans="1:52" ht="16" x14ac:dyDescent="0.2">
      <c r="A82" s="41">
        <v>42583</v>
      </c>
      <c r="B82" s="42">
        <v>24.263545989990231</v>
      </c>
      <c r="C82" s="42">
        <v>34.809440612792969</v>
      </c>
      <c r="D82" s="42">
        <v>102.30999755859381</v>
      </c>
      <c r="E82" s="42">
        <v>23.979999542236332</v>
      </c>
      <c r="F82" s="42">
        <v>126.20799255371089</v>
      </c>
      <c r="G82" s="42">
        <v>38.458000183105469</v>
      </c>
      <c r="H82" s="42">
        <v>65.807281494140625</v>
      </c>
      <c r="I82" s="42">
        <v>23.57321929931641</v>
      </c>
      <c r="J82" s="42">
        <v>136.92826843261719</v>
      </c>
      <c r="K82" s="42">
        <v>23.363283157348629</v>
      </c>
      <c r="L82" s="42">
        <v>65.969047546386719</v>
      </c>
      <c r="M82" s="42">
        <v>87.032852172851562</v>
      </c>
      <c r="N82" s="42">
        <v>110.42702484130859</v>
      </c>
      <c r="O82" s="42">
        <v>41.262554168701172</v>
      </c>
      <c r="P82" s="42">
        <v>64.075843811035156</v>
      </c>
      <c r="Q82" s="42">
        <v>11.14999961853027</v>
      </c>
      <c r="R82" s="42">
        <v>122.73000335693359</v>
      </c>
      <c r="S82" s="42">
        <v>122.5646286010742</v>
      </c>
      <c r="T82" s="42">
        <v>134.00404357910159</v>
      </c>
      <c r="U82" s="42">
        <v>39.120250701904297</v>
      </c>
      <c r="V82" s="42">
        <v>137.7998352050781</v>
      </c>
      <c r="W82" s="42">
        <v>105.09348297119141</v>
      </c>
      <c r="X82" s="42">
        <v>81.099998474121094</v>
      </c>
      <c r="Y82" s="42">
        <v>90.927360534667969</v>
      </c>
      <c r="Z82" s="42">
        <v>51.902072906494141</v>
      </c>
      <c r="AA82" s="42">
        <v>31.784223556518551</v>
      </c>
      <c r="AB82" s="42">
        <v>63.938186645507812</v>
      </c>
      <c r="AC82" s="42">
        <v>90.956207275390625</v>
      </c>
      <c r="AD82" s="42">
        <v>67.030502319335938</v>
      </c>
      <c r="AE82" s="42">
        <v>24.198066711425781</v>
      </c>
      <c r="AF82" s="42">
        <v>51.022609710693359</v>
      </c>
      <c r="AG82" s="42">
        <v>16.080011367797852</v>
      </c>
      <c r="AH82" s="42">
        <v>23.41408538818359</v>
      </c>
      <c r="AI82" s="42">
        <v>27.035196304321289</v>
      </c>
      <c r="AJ82" s="42">
        <v>1.5065280199050901</v>
      </c>
      <c r="AK82" s="42">
        <v>25.907062530517582</v>
      </c>
      <c r="AL82" s="42">
        <v>25.633871078491211</v>
      </c>
      <c r="AM82" s="42">
        <v>66.492271423339844</v>
      </c>
      <c r="AN82" s="42">
        <v>105.55116271972661</v>
      </c>
      <c r="AO82" s="42">
        <v>9.5600004196166992</v>
      </c>
      <c r="AP82" s="42">
        <v>39.993789672851562</v>
      </c>
      <c r="AQ82" s="42">
        <v>22.27256011962891</v>
      </c>
      <c r="AR82" s="42">
        <v>48.150981903076172</v>
      </c>
      <c r="AS82" s="42">
        <v>388.88021850585938</v>
      </c>
      <c r="AT82" s="42">
        <v>86.313819885253906</v>
      </c>
      <c r="AU82" s="42">
        <v>33.665958404541023</v>
      </c>
      <c r="AV82" s="42">
        <v>52.911083221435547</v>
      </c>
      <c r="AW82" s="42">
        <v>115.3554992675781</v>
      </c>
      <c r="AX82" s="42">
        <v>76.692672729492188</v>
      </c>
      <c r="AY82" s="42">
        <v>20.150434494018551</v>
      </c>
      <c r="AZ82" s="42">
        <v>2170.949951171875</v>
      </c>
    </row>
    <row r="83" spans="1:52" ht="16" x14ac:dyDescent="0.2">
      <c r="A83" s="39">
        <v>42614</v>
      </c>
      <c r="B83" s="40">
        <v>25.852909088134769</v>
      </c>
      <c r="C83" s="40">
        <v>35.033111572265618</v>
      </c>
      <c r="D83" s="40">
        <v>108.5400009155273</v>
      </c>
      <c r="E83" s="40">
        <v>26.159999847412109</v>
      </c>
      <c r="F83" s="40">
        <v>123.7960662841797</v>
      </c>
      <c r="G83" s="40">
        <v>41.865501403808587</v>
      </c>
      <c r="H83" s="40">
        <v>71.283866882324219</v>
      </c>
      <c r="I83" s="40">
        <v>23.963333129882809</v>
      </c>
      <c r="J83" s="40">
        <v>128.83538818359381</v>
      </c>
      <c r="K83" s="40">
        <v>23.571353912353519</v>
      </c>
      <c r="L83" s="40">
        <v>67.503799438476562</v>
      </c>
      <c r="M83" s="40">
        <v>85.558647155761719</v>
      </c>
      <c r="N83" s="40">
        <v>109.5581817626953</v>
      </c>
      <c r="O83" s="40">
        <v>42.695953369140618</v>
      </c>
      <c r="P83" s="40">
        <v>70.0279541015625</v>
      </c>
      <c r="Q83" s="40">
        <v>12.789999961853029</v>
      </c>
      <c r="R83" s="40">
        <v>124.63999938964839</v>
      </c>
      <c r="S83" s="40">
        <v>124.9318466186523</v>
      </c>
      <c r="T83" s="40">
        <v>128.04670715332031</v>
      </c>
      <c r="U83" s="40">
        <v>39.824043273925781</v>
      </c>
      <c r="V83" s="40">
        <v>131.13995361328119</v>
      </c>
      <c r="W83" s="40">
        <v>100.8308410644531</v>
      </c>
      <c r="X83" s="40">
        <v>94.290000915527344</v>
      </c>
      <c r="Y83" s="40">
        <v>90.005447387695312</v>
      </c>
      <c r="Z83" s="40">
        <v>51.202362060546882</v>
      </c>
      <c r="AA83" s="40">
        <v>31.224910736083981</v>
      </c>
      <c r="AB83" s="40">
        <v>65.733016967773438</v>
      </c>
      <c r="AC83" s="40">
        <v>90.72027587890625</v>
      </c>
      <c r="AD83" s="40">
        <v>66.877525329589844</v>
      </c>
      <c r="AE83" s="40">
        <v>24.198066711425781</v>
      </c>
      <c r="AF83" s="40">
        <v>51.146903991699219</v>
      </c>
      <c r="AG83" s="40">
        <v>17.33793830871582</v>
      </c>
      <c r="AH83" s="40">
        <v>23.681257247924801</v>
      </c>
      <c r="AI83" s="40">
        <v>27.996540069580082</v>
      </c>
      <c r="AJ83" s="40">
        <v>1.6828712224960329</v>
      </c>
      <c r="AK83" s="40">
        <v>26.874179840087891</v>
      </c>
      <c r="AL83" s="40">
        <v>28.093938827514648</v>
      </c>
      <c r="AM83" s="40">
        <v>68.3504638671875</v>
      </c>
      <c r="AN83" s="40">
        <v>108.1354675292969</v>
      </c>
      <c r="AO83" s="40">
        <v>10.310000419616699</v>
      </c>
      <c r="AP83" s="40">
        <v>40.649116516113281</v>
      </c>
      <c r="AQ83" s="40">
        <v>23.232267379760739</v>
      </c>
      <c r="AR83" s="40">
        <v>52.296516418457031</v>
      </c>
      <c r="AS83" s="40">
        <v>398.26171875</v>
      </c>
      <c r="AT83" s="40">
        <v>84.16900634765625</v>
      </c>
      <c r="AU83" s="40">
        <v>32.509559631347663</v>
      </c>
      <c r="AV83" s="40">
        <v>53.398044586181641</v>
      </c>
      <c r="AW83" s="40">
        <v>119.25283050537109</v>
      </c>
      <c r="AX83" s="40">
        <v>78.298316955566406</v>
      </c>
      <c r="AY83" s="40">
        <v>20.342245101928711</v>
      </c>
      <c r="AZ83" s="40">
        <v>2168.27001953125</v>
      </c>
    </row>
    <row r="84" spans="1:52" ht="16" x14ac:dyDescent="0.2">
      <c r="A84" s="41">
        <v>42644</v>
      </c>
      <c r="B84" s="42">
        <v>25.964967727661129</v>
      </c>
      <c r="C84" s="42">
        <v>32.713138580322273</v>
      </c>
      <c r="D84" s="42">
        <v>107.5100021362305</v>
      </c>
      <c r="E84" s="42">
        <v>25.29999923706055</v>
      </c>
      <c r="F84" s="42">
        <v>104.76023101806641</v>
      </c>
      <c r="G84" s="42">
        <v>39.491001129150391</v>
      </c>
      <c r="H84" s="42">
        <v>67.611457824707031</v>
      </c>
      <c r="I84" s="42">
        <v>22.423576354980469</v>
      </c>
      <c r="J84" s="42">
        <v>124.91571044921881</v>
      </c>
      <c r="K84" s="42">
        <v>22.986934661865231</v>
      </c>
      <c r="L84" s="42">
        <v>68.704093933105469</v>
      </c>
      <c r="M84" s="42">
        <v>85.402015686035156</v>
      </c>
      <c r="N84" s="42">
        <v>102.7625732421875</v>
      </c>
      <c r="O84" s="42">
        <v>39.696037292480469</v>
      </c>
      <c r="P84" s="42">
        <v>65.587783813476562</v>
      </c>
      <c r="Q84" s="42">
        <v>10.590000152587891</v>
      </c>
      <c r="R84" s="42">
        <v>138.21000671386719</v>
      </c>
      <c r="S84" s="42">
        <v>121.9766387939453</v>
      </c>
      <c r="T84" s="42">
        <v>125.7987518310547</v>
      </c>
      <c r="U84" s="42">
        <v>40.113288879394531</v>
      </c>
      <c r="V84" s="42">
        <v>144.93949890136719</v>
      </c>
      <c r="W84" s="42">
        <v>95.604385375976562</v>
      </c>
      <c r="X84" s="42">
        <v>86.970001220703125</v>
      </c>
      <c r="Y84" s="42">
        <v>88.374923706054688</v>
      </c>
      <c r="Z84" s="42">
        <v>53.642513275146477</v>
      </c>
      <c r="AA84" s="42">
        <v>31.283920288085941</v>
      </c>
      <c r="AB84" s="42">
        <v>69.571441650390625</v>
      </c>
      <c r="AC84" s="42">
        <v>88.526168823242188</v>
      </c>
      <c r="AD84" s="42">
        <v>63.487197875976562</v>
      </c>
      <c r="AE84" s="42">
        <v>25.489545822143551</v>
      </c>
      <c r="AF84" s="42">
        <v>53.206993103027337</v>
      </c>
      <c r="AG84" s="42">
        <v>16.733356475830082</v>
      </c>
      <c r="AH84" s="42">
        <v>24.780912399291989</v>
      </c>
      <c r="AI84" s="42">
        <v>26.67258262634277</v>
      </c>
      <c r="AJ84" s="42">
        <v>1.7477109432220459</v>
      </c>
      <c r="AK84" s="42">
        <v>23.24992752075195</v>
      </c>
      <c r="AL84" s="42">
        <v>26.81069374084473</v>
      </c>
      <c r="AM84" s="42">
        <v>66.614242553710938</v>
      </c>
      <c r="AN84" s="42">
        <v>105.7406845092773</v>
      </c>
      <c r="AO84" s="42">
        <v>9.6999998092651367</v>
      </c>
      <c r="AP84" s="42">
        <v>39.601375579833977</v>
      </c>
      <c r="AQ84" s="42">
        <v>22.52848052978516</v>
      </c>
      <c r="AR84" s="42">
        <v>52.4644775390625</v>
      </c>
      <c r="AS84" s="42">
        <v>341.7945556640625</v>
      </c>
      <c r="AT84" s="42">
        <v>74.494407653808594</v>
      </c>
      <c r="AU84" s="42">
        <v>32.061779022216797</v>
      </c>
      <c r="AV84" s="42">
        <v>53.907825469970703</v>
      </c>
      <c r="AW84" s="42">
        <v>120.3857040405273</v>
      </c>
      <c r="AX84" s="42">
        <v>70.792022705078125</v>
      </c>
      <c r="AY84" s="42">
        <v>19.749917984008789</v>
      </c>
      <c r="AZ84" s="42">
        <v>2126.14990234375</v>
      </c>
    </row>
    <row r="85" spans="1:52" ht="16" x14ac:dyDescent="0.2">
      <c r="A85" s="39">
        <v>42675</v>
      </c>
      <c r="B85" s="40">
        <v>25.404094696044918</v>
      </c>
      <c r="C85" s="40">
        <v>31.737737655639648</v>
      </c>
      <c r="D85" s="40">
        <v>102.80999755859381</v>
      </c>
      <c r="E85" s="40">
        <v>34.700000762939453</v>
      </c>
      <c r="F85" s="40">
        <v>107.6420516967773</v>
      </c>
      <c r="G85" s="40">
        <v>37.528499603271477</v>
      </c>
      <c r="H85" s="40">
        <v>77.413719177246094</v>
      </c>
      <c r="I85" s="40">
        <v>25.21291542053223</v>
      </c>
      <c r="J85" s="40">
        <v>127.1982727050781</v>
      </c>
      <c r="K85" s="40">
        <v>22.342582702636719</v>
      </c>
      <c r="L85" s="40">
        <v>73.9031982421875</v>
      </c>
      <c r="M85" s="40">
        <v>91.326446533203125</v>
      </c>
      <c r="N85" s="40">
        <v>105.066780090332</v>
      </c>
      <c r="O85" s="40">
        <v>44.632816314697273</v>
      </c>
      <c r="P85" s="40">
        <v>74.364730834960938</v>
      </c>
      <c r="Q85" s="40">
        <v>16.920000076293949</v>
      </c>
      <c r="R85" s="40">
        <v>140.75</v>
      </c>
      <c r="S85" s="40">
        <v>141.8906555175781</v>
      </c>
      <c r="T85" s="40">
        <v>132.97486877441409</v>
      </c>
      <c r="U85" s="40">
        <v>38.428329467773438</v>
      </c>
      <c r="V85" s="40">
        <v>178.8727722167969</v>
      </c>
      <c r="W85" s="40">
        <v>101.9334030151367</v>
      </c>
      <c r="X85" s="40">
        <v>102.2900009155273</v>
      </c>
      <c r="Y85" s="40">
        <v>85.387535095214844</v>
      </c>
      <c r="Z85" s="40">
        <v>62.092430114746087</v>
      </c>
      <c r="AA85" s="40">
        <v>30.023075103759769</v>
      </c>
      <c r="AB85" s="40">
        <v>75.162429809570312</v>
      </c>
      <c r="AC85" s="40">
        <v>94.524528503417969</v>
      </c>
      <c r="AD85" s="40">
        <v>56.513031005859382</v>
      </c>
      <c r="AE85" s="40">
        <v>31.404451370239261</v>
      </c>
      <c r="AF85" s="40">
        <v>53.870376586914062</v>
      </c>
      <c r="AG85" s="40">
        <v>19.044429779052731</v>
      </c>
      <c r="AH85" s="40">
        <v>22.284578323364261</v>
      </c>
      <c r="AI85" s="40">
        <v>28.731575012207031</v>
      </c>
      <c r="AJ85" s="40">
        <v>2.2678499221801758</v>
      </c>
      <c r="AK85" s="40">
        <v>26.18500900268555</v>
      </c>
      <c r="AL85" s="40">
        <v>30.409078598022461</v>
      </c>
      <c r="AM85" s="40">
        <v>63.283531188964837</v>
      </c>
      <c r="AN85" s="40">
        <v>120.2817001342773</v>
      </c>
      <c r="AO85" s="40">
        <v>10</v>
      </c>
      <c r="AP85" s="40">
        <v>38.644748687744141</v>
      </c>
      <c r="AQ85" s="40">
        <v>27.363922119140621</v>
      </c>
      <c r="AR85" s="40">
        <v>52.420886993408203</v>
      </c>
      <c r="AS85" s="40">
        <v>375.69464111328119</v>
      </c>
      <c r="AT85" s="40">
        <v>81.997383117675781</v>
      </c>
      <c r="AU85" s="40">
        <v>34.178401947021477</v>
      </c>
      <c r="AV85" s="40">
        <v>56.662860870361328</v>
      </c>
      <c r="AW85" s="40">
        <v>135.39485168457031</v>
      </c>
      <c r="AX85" s="40">
        <v>81.833915710449219</v>
      </c>
      <c r="AY85" s="40">
        <v>19.86556434631348</v>
      </c>
      <c r="AZ85" s="40">
        <v>2198.81005859375</v>
      </c>
    </row>
    <row r="86" spans="1:52" ht="16" x14ac:dyDescent="0.2">
      <c r="A86" s="41">
        <v>42705</v>
      </c>
      <c r="B86" s="42">
        <v>26.622358322143551</v>
      </c>
      <c r="C86" s="42">
        <v>32.021186828613281</v>
      </c>
      <c r="D86" s="42">
        <v>102.9499969482422</v>
      </c>
      <c r="E86" s="42">
        <v>35.049999237060547</v>
      </c>
      <c r="F86" s="42">
        <v>109.240966796875</v>
      </c>
      <c r="G86" s="42">
        <v>37.493499755859382</v>
      </c>
      <c r="H86" s="42">
        <v>75.129226684570312</v>
      </c>
      <c r="I86" s="42">
        <v>25.14472579956055</v>
      </c>
      <c r="J86" s="42">
        <v>135.67193603515619</v>
      </c>
      <c r="K86" s="42">
        <v>22.642282485961911</v>
      </c>
      <c r="L86" s="42">
        <v>77.97064208984375</v>
      </c>
      <c r="M86" s="42">
        <v>96.765487670898438</v>
      </c>
      <c r="N86" s="42">
        <v>105.8286590576172</v>
      </c>
      <c r="O86" s="42">
        <v>44.087169647216797</v>
      </c>
      <c r="P86" s="42">
        <v>73.334701538085938</v>
      </c>
      <c r="Q86" s="42">
        <v>14.909999847412109</v>
      </c>
      <c r="R86" s="42">
        <v>144.7200012207031</v>
      </c>
      <c r="S86" s="42">
        <v>139.7139587402344</v>
      </c>
      <c r="T86" s="42">
        <v>137.63433837890619</v>
      </c>
      <c r="U86" s="42">
        <v>39.249011993408203</v>
      </c>
      <c r="V86" s="42">
        <v>195.31718444824219</v>
      </c>
      <c r="W86" s="42">
        <v>105.620002746582</v>
      </c>
      <c r="X86" s="42">
        <v>100.26999664306641</v>
      </c>
      <c r="Y86" s="42">
        <v>88.387229919433594</v>
      </c>
      <c r="Z86" s="42">
        <v>66.832405090332031</v>
      </c>
      <c r="AA86" s="42">
        <v>30.848978042602539</v>
      </c>
      <c r="AB86" s="42">
        <v>66.538520812988281</v>
      </c>
      <c r="AC86" s="42">
        <v>96.466201782226562</v>
      </c>
      <c r="AD86" s="42">
        <v>55.4644775390625</v>
      </c>
      <c r="AE86" s="42">
        <v>32.080219268798828</v>
      </c>
      <c r="AF86" s="42">
        <v>55.551036834716797</v>
      </c>
      <c r="AG86" s="42">
        <v>21.375005722045898</v>
      </c>
      <c r="AH86" s="42">
        <v>23.30487060546875</v>
      </c>
      <c r="AI86" s="42">
        <v>27.717794418334961</v>
      </c>
      <c r="AJ86" s="42">
        <v>2.6254911422729492</v>
      </c>
      <c r="AK86" s="42">
        <v>27.71778678894043</v>
      </c>
      <c r="AL86" s="42">
        <v>31.781990051269531</v>
      </c>
      <c r="AM86" s="42">
        <v>64.526779174804688</v>
      </c>
      <c r="AN86" s="42">
        <v>121.20810699462891</v>
      </c>
      <c r="AO86" s="42">
        <v>11.30000019073486</v>
      </c>
      <c r="AP86" s="42">
        <v>40.407566070556641</v>
      </c>
      <c r="AQ86" s="42">
        <v>28.348236083984379</v>
      </c>
      <c r="AR86" s="42">
        <v>50.166469573974609</v>
      </c>
      <c r="AS86" s="42">
        <v>363.65826416015619</v>
      </c>
      <c r="AT86" s="42">
        <v>82.018745422363281</v>
      </c>
      <c r="AU86" s="42">
        <v>32.777931213378913</v>
      </c>
      <c r="AV86" s="42">
        <v>55.927082061767578</v>
      </c>
      <c r="AW86" s="42">
        <v>136.86573791503909</v>
      </c>
      <c r="AX86" s="42">
        <v>83.731803894042969</v>
      </c>
      <c r="AY86" s="42">
        <v>19.6356086730957</v>
      </c>
      <c r="AZ86" s="42">
        <v>2238.830078125</v>
      </c>
    </row>
    <row r="87" spans="1:52" ht="16" x14ac:dyDescent="0.2">
      <c r="A87" s="39">
        <v>42736</v>
      </c>
      <c r="B87" s="40">
        <v>27.893478393554691</v>
      </c>
      <c r="C87" s="40">
        <v>35.0472412109375</v>
      </c>
      <c r="D87" s="40">
        <v>113.379997253418</v>
      </c>
      <c r="E87" s="40">
        <v>34.150001525878913</v>
      </c>
      <c r="F87" s="40">
        <v>117.06365966796881</v>
      </c>
      <c r="G87" s="40">
        <v>41.173999786376953</v>
      </c>
      <c r="H87" s="40">
        <v>78.137741088867188</v>
      </c>
      <c r="I87" s="40">
        <v>27.46436882019043</v>
      </c>
      <c r="J87" s="40">
        <v>138.92578125</v>
      </c>
      <c r="K87" s="40">
        <v>23.214546203613281</v>
      </c>
      <c r="L87" s="40">
        <v>73.764091491699219</v>
      </c>
      <c r="M87" s="40">
        <v>102.73557281494141</v>
      </c>
      <c r="N87" s="40">
        <v>108.4558868408203</v>
      </c>
      <c r="O87" s="40">
        <v>46.388397216796882</v>
      </c>
      <c r="P87" s="40">
        <v>73.801040649414062</v>
      </c>
      <c r="Q87" s="40">
        <v>18.120000839233398</v>
      </c>
      <c r="R87" s="40">
        <v>134.0299987792969</v>
      </c>
      <c r="S87" s="40">
        <v>147.16291809082031</v>
      </c>
      <c r="T87" s="40">
        <v>129.35882568359381</v>
      </c>
      <c r="U87" s="40">
        <v>40.622940063476562</v>
      </c>
      <c r="V87" s="40">
        <v>187.0542297363281</v>
      </c>
      <c r="W87" s="40">
        <v>108.3771133422852</v>
      </c>
      <c r="X87" s="40">
        <v>121.2099990844727</v>
      </c>
      <c r="Y87" s="40">
        <v>86.883537292480469</v>
      </c>
      <c r="Z87" s="40">
        <v>65.909400939941406</v>
      </c>
      <c r="AA87" s="40">
        <v>30.93083572387695</v>
      </c>
      <c r="AB87" s="40">
        <v>67.189537048339844</v>
      </c>
      <c r="AC87" s="40">
        <v>97.139862060546875</v>
      </c>
      <c r="AD87" s="40">
        <v>59.194278717041023</v>
      </c>
      <c r="AE87" s="40">
        <v>32.409706115722663</v>
      </c>
      <c r="AF87" s="40">
        <v>57.794906616210938</v>
      </c>
      <c r="AG87" s="40">
        <v>23.510555267333981</v>
      </c>
      <c r="AH87" s="40">
        <v>24.135923385620121</v>
      </c>
      <c r="AI87" s="40">
        <v>30.276435852050781</v>
      </c>
      <c r="AJ87" s="40">
        <v>2.685508012771606</v>
      </c>
      <c r="AK87" s="40">
        <v>27.364070892333981</v>
      </c>
      <c r="AL87" s="40">
        <v>30.850276947021481</v>
      </c>
      <c r="AM87" s="40">
        <v>67.760978698730469</v>
      </c>
      <c r="AN87" s="40">
        <v>127.3810195922852</v>
      </c>
      <c r="AO87" s="40">
        <v>11.5</v>
      </c>
      <c r="AP87" s="40">
        <v>37.391735076904297</v>
      </c>
      <c r="AQ87" s="40">
        <v>27.573091506958011</v>
      </c>
      <c r="AR87" s="40">
        <v>41.1103515625</v>
      </c>
      <c r="AS87" s="40">
        <v>355.93115234375</v>
      </c>
      <c r="AT87" s="40">
        <v>92.722015380859375</v>
      </c>
      <c r="AU87" s="40">
        <v>32.686313629150391</v>
      </c>
      <c r="AV87" s="40">
        <v>58.264381408691413</v>
      </c>
      <c r="AW87" s="40">
        <v>138.62750244140619</v>
      </c>
      <c r="AX87" s="40">
        <v>86.073814392089844</v>
      </c>
      <c r="AY87" s="40">
        <v>18.959487915039059</v>
      </c>
      <c r="AZ87" s="40">
        <v>2278.8701171875</v>
      </c>
    </row>
    <row r="88" spans="1:52" ht="16" x14ac:dyDescent="0.2">
      <c r="A88" s="41">
        <v>42767</v>
      </c>
      <c r="B88" s="42">
        <v>31.625009536743161</v>
      </c>
      <c r="C88" s="42">
        <v>37.824516296386719</v>
      </c>
      <c r="D88" s="42">
        <v>118.3399963378906</v>
      </c>
      <c r="E88" s="42">
        <v>32.200000762939453</v>
      </c>
      <c r="F88" s="42">
        <v>132.80424499511719</v>
      </c>
      <c r="G88" s="42">
        <v>42.251998901367188</v>
      </c>
      <c r="H88" s="42">
        <v>78.954566955566406</v>
      </c>
      <c r="I88" s="42">
        <v>27.253168106079102</v>
      </c>
      <c r="J88" s="42">
        <v>150.5408630371094</v>
      </c>
      <c r="K88" s="42">
        <v>25.829196929931641</v>
      </c>
      <c r="L88" s="42">
        <v>75.2392578125</v>
      </c>
      <c r="M88" s="42">
        <v>102.2156219482422</v>
      </c>
      <c r="N88" s="42">
        <v>111.9226913452148</v>
      </c>
      <c r="O88" s="42">
        <v>47.885498046875</v>
      </c>
      <c r="P88" s="42">
        <v>70.466255187988281</v>
      </c>
      <c r="Q88" s="42">
        <v>21.530000686645511</v>
      </c>
      <c r="R88" s="42">
        <v>143.27000427246091</v>
      </c>
      <c r="S88" s="42">
        <v>154.25779724121091</v>
      </c>
      <c r="T88" s="42">
        <v>130.87348937988281</v>
      </c>
      <c r="U88" s="42">
        <v>41.848281860351562</v>
      </c>
      <c r="V88" s="42">
        <v>202.86909484863281</v>
      </c>
      <c r="W88" s="42">
        <v>114.15126800537109</v>
      </c>
      <c r="X88" s="42">
        <v>133.1000061035156</v>
      </c>
      <c r="Y88" s="42">
        <v>94.377899169921875</v>
      </c>
      <c r="Z88" s="42">
        <v>70.57440185546875</v>
      </c>
      <c r="AA88" s="42">
        <v>31.22101974487305</v>
      </c>
      <c r="AB88" s="42">
        <v>71.683914184570312</v>
      </c>
      <c r="AC88" s="42">
        <v>101.91050720214839</v>
      </c>
      <c r="AD88" s="42">
        <v>63.001983642578118</v>
      </c>
      <c r="AE88" s="42">
        <v>34.835281372070312</v>
      </c>
      <c r="AF88" s="42">
        <v>57.542713165283203</v>
      </c>
      <c r="AG88" s="42">
        <v>22.85721397399902</v>
      </c>
      <c r="AH88" s="42">
        <v>25.75212478637695</v>
      </c>
      <c r="AI88" s="42">
        <v>33.049667358398438</v>
      </c>
      <c r="AJ88" s="42">
        <v>2.499260425567627</v>
      </c>
      <c r="AK88" s="42">
        <v>27.97237396240234</v>
      </c>
      <c r="AL88" s="42">
        <v>30.256898880004879</v>
      </c>
      <c r="AM88" s="42">
        <v>70.44512939453125</v>
      </c>
      <c r="AN88" s="42">
        <v>134.65675354003909</v>
      </c>
      <c r="AO88" s="42">
        <v>10.69999980926514</v>
      </c>
      <c r="AP88" s="42">
        <v>39.075702667236328</v>
      </c>
      <c r="AQ88" s="42">
        <v>31.23966026306152</v>
      </c>
      <c r="AR88" s="42">
        <v>43.863372802734382</v>
      </c>
      <c r="AS88" s="42">
        <v>370.00836181640619</v>
      </c>
      <c r="AT88" s="42">
        <v>94.422462463378906</v>
      </c>
      <c r="AU88" s="42">
        <v>34.344940185546882</v>
      </c>
      <c r="AV88" s="42">
        <v>59.097393035888672</v>
      </c>
      <c r="AW88" s="42">
        <v>141.43255615234381</v>
      </c>
      <c r="AX88" s="42">
        <v>87.669235229492188</v>
      </c>
      <c r="AY88" s="42">
        <v>20.149787902832031</v>
      </c>
      <c r="AZ88" s="42">
        <v>2363.639892578125</v>
      </c>
    </row>
    <row r="89" spans="1:52" ht="16" x14ac:dyDescent="0.2">
      <c r="A89" s="39">
        <v>42795</v>
      </c>
      <c r="B89" s="40">
        <v>33.164821624755859</v>
      </c>
      <c r="C89" s="40">
        <v>37.262340545654297</v>
      </c>
      <c r="D89" s="40">
        <v>130.1300048828125</v>
      </c>
      <c r="E89" s="40">
        <v>32</v>
      </c>
      <c r="F89" s="40">
        <v>123.43056488037109</v>
      </c>
      <c r="G89" s="40">
        <v>44.326999664306641</v>
      </c>
      <c r="H89" s="40">
        <v>75.768959045410156</v>
      </c>
      <c r="I89" s="40">
        <v>27.37697601318359</v>
      </c>
      <c r="J89" s="40">
        <v>142.4776916503906</v>
      </c>
      <c r="K89" s="40">
        <v>25.54203987121582</v>
      </c>
      <c r="L89" s="40">
        <v>71.808349609375</v>
      </c>
      <c r="M89" s="40">
        <v>105.2795867919922</v>
      </c>
      <c r="N89" s="40">
        <v>113.4949951171875</v>
      </c>
      <c r="O89" s="40">
        <v>47.694286346435547</v>
      </c>
      <c r="P89" s="40">
        <v>70.873138427734375</v>
      </c>
      <c r="Q89" s="40">
        <v>21.670000076293949</v>
      </c>
      <c r="R89" s="40">
        <v>142.57000732421881</v>
      </c>
      <c r="S89" s="40">
        <v>152.1365966796875</v>
      </c>
      <c r="T89" s="40">
        <v>130.82958984375</v>
      </c>
      <c r="U89" s="40">
        <v>41.990432739257812</v>
      </c>
      <c r="V89" s="40">
        <v>187.8702697753906</v>
      </c>
      <c r="W89" s="40">
        <v>116.3675994873047</v>
      </c>
      <c r="X89" s="40">
        <v>133.66999816894531</v>
      </c>
      <c r="Y89" s="40">
        <v>96.185005187988281</v>
      </c>
      <c r="Z89" s="40">
        <v>68.409317016601562</v>
      </c>
      <c r="AA89" s="40">
        <v>31.856906890869141</v>
      </c>
      <c r="AB89" s="40">
        <v>78.890800476074219</v>
      </c>
      <c r="AC89" s="40">
        <v>103.4753036499023</v>
      </c>
      <c r="AD89" s="40">
        <v>63.063705444335938</v>
      </c>
      <c r="AE89" s="40">
        <v>32.676666259765618</v>
      </c>
      <c r="AF89" s="40">
        <v>59.233543395996087</v>
      </c>
      <c r="AG89" s="40">
        <v>28.181467056274411</v>
      </c>
      <c r="AH89" s="40">
        <v>25.235115051269531</v>
      </c>
      <c r="AI89" s="40">
        <v>33.065464019775391</v>
      </c>
      <c r="AJ89" s="40">
        <v>2.6827406883239751</v>
      </c>
      <c r="AK89" s="40">
        <v>26.74759483337402</v>
      </c>
      <c r="AL89" s="40">
        <v>31.035013198852539</v>
      </c>
      <c r="AM89" s="40">
        <v>69.501419067382812</v>
      </c>
      <c r="AN89" s="40">
        <v>139.42247009277341</v>
      </c>
      <c r="AO89" s="40">
        <v>10.69999980926514</v>
      </c>
      <c r="AP89" s="40">
        <v>40.067901611328118</v>
      </c>
      <c r="AQ89" s="40">
        <v>33.232894897460938</v>
      </c>
      <c r="AR89" s="40">
        <v>44.531265258789062</v>
      </c>
      <c r="AS89" s="40">
        <v>383.88739013671881</v>
      </c>
      <c r="AT89" s="40">
        <v>94.927398681640625</v>
      </c>
      <c r="AU89" s="40">
        <v>34.620742797851562</v>
      </c>
      <c r="AV89" s="40">
        <v>62.136341094970703</v>
      </c>
      <c r="AW89" s="40">
        <v>140.78369140625</v>
      </c>
      <c r="AX89" s="40">
        <v>86.028594970703125</v>
      </c>
      <c r="AY89" s="40">
        <v>20.627035140991211</v>
      </c>
      <c r="AZ89" s="40">
        <v>2362.719970703125</v>
      </c>
    </row>
    <row r="90" spans="1:52" ht="16" x14ac:dyDescent="0.2">
      <c r="A90" s="41">
        <v>42826</v>
      </c>
      <c r="B90" s="42">
        <v>33.162513732910163</v>
      </c>
      <c r="C90" s="42">
        <v>36.840236663818359</v>
      </c>
      <c r="D90" s="42">
        <v>133.74000549316409</v>
      </c>
      <c r="E90" s="42">
        <v>33.950000762939453</v>
      </c>
      <c r="F90" s="42">
        <v>122.866340637207</v>
      </c>
      <c r="G90" s="42">
        <v>46.249500274658203</v>
      </c>
      <c r="H90" s="42">
        <v>84.222618103027344</v>
      </c>
      <c r="I90" s="42">
        <v>28.662746429443359</v>
      </c>
      <c r="J90" s="42">
        <v>150.8297424316406</v>
      </c>
      <c r="K90" s="42">
        <v>25.970363616943359</v>
      </c>
      <c r="L90" s="42">
        <v>71.360260009765625</v>
      </c>
      <c r="M90" s="42">
        <v>107.3315048217773</v>
      </c>
      <c r="N90" s="42">
        <v>116.89060974121089</v>
      </c>
      <c r="O90" s="42">
        <v>48.028919219970703</v>
      </c>
      <c r="P90" s="42">
        <v>67.318878173828125</v>
      </c>
      <c r="Q90" s="42">
        <v>22.39999961853027</v>
      </c>
      <c r="R90" s="42">
        <v>129.1300048828125</v>
      </c>
      <c r="S90" s="42">
        <v>158.2001647949219</v>
      </c>
      <c r="T90" s="42">
        <v>127.2735061645508</v>
      </c>
      <c r="U90" s="42">
        <v>45.790279388427727</v>
      </c>
      <c r="V90" s="42">
        <v>183.02879333496091</v>
      </c>
      <c r="W90" s="42">
        <v>123.7144012451172</v>
      </c>
      <c r="X90" s="42">
        <v>124.2799987792969</v>
      </c>
      <c r="Y90" s="42">
        <v>95.350967407226562</v>
      </c>
      <c r="Z90" s="42">
        <v>68.144447326660156</v>
      </c>
      <c r="AA90" s="42">
        <v>32.389846801757812</v>
      </c>
      <c r="AB90" s="42">
        <v>77.762786865234375</v>
      </c>
      <c r="AC90" s="42">
        <v>111.71437072753911</v>
      </c>
      <c r="AD90" s="42">
        <v>65.044258117675781</v>
      </c>
      <c r="AE90" s="42">
        <v>33.230724334716797</v>
      </c>
      <c r="AF90" s="42">
        <v>61.571941375732422</v>
      </c>
      <c r="AG90" s="42">
        <v>26.982046127319339</v>
      </c>
      <c r="AH90" s="42">
        <v>26.255376815795898</v>
      </c>
      <c r="AI90" s="42">
        <v>31.631195068359379</v>
      </c>
      <c r="AJ90" s="42">
        <v>2.568711519241333</v>
      </c>
      <c r="AK90" s="42">
        <v>26.06606292724609</v>
      </c>
      <c r="AL90" s="42">
        <v>29.78691482543945</v>
      </c>
      <c r="AM90" s="42">
        <v>68.06939697265625</v>
      </c>
      <c r="AN90" s="42">
        <v>139.83990478515619</v>
      </c>
      <c r="AO90" s="42">
        <v>11.5</v>
      </c>
      <c r="AP90" s="42">
        <v>42.021865844726562</v>
      </c>
      <c r="AQ90" s="42">
        <v>35.066177368164062</v>
      </c>
      <c r="AR90" s="42">
        <v>41.735431671142578</v>
      </c>
      <c r="AS90" s="42">
        <v>384.85818481445312</v>
      </c>
      <c r="AT90" s="42">
        <v>102.4220886230469</v>
      </c>
      <c r="AU90" s="42">
        <v>34.428112030029297</v>
      </c>
      <c r="AV90" s="42">
        <v>61.450763702392578</v>
      </c>
      <c r="AW90" s="42">
        <v>150.11444091796881</v>
      </c>
      <c r="AX90" s="42">
        <v>90.934295654296875</v>
      </c>
      <c r="AY90" s="42">
        <v>21.514163970947269</v>
      </c>
      <c r="AZ90" s="42">
        <v>2384.199951171875</v>
      </c>
    </row>
    <row r="91" spans="1:52" ht="16" x14ac:dyDescent="0.2">
      <c r="A91" s="39">
        <v>42856</v>
      </c>
      <c r="B91" s="40">
        <v>35.411178588867188</v>
      </c>
      <c r="C91" s="40">
        <v>38.545490264892578</v>
      </c>
      <c r="D91" s="40">
        <v>141.86000061035159</v>
      </c>
      <c r="E91" s="40">
        <v>37.099998474121087</v>
      </c>
      <c r="F91" s="40">
        <v>117.6320266723633</v>
      </c>
      <c r="G91" s="40">
        <v>49.730998992919922</v>
      </c>
      <c r="H91" s="40">
        <v>86.83349609375</v>
      </c>
      <c r="I91" s="40">
        <v>30.491182327270511</v>
      </c>
      <c r="J91" s="40">
        <v>159.9612121582031</v>
      </c>
      <c r="K91" s="40">
        <v>24.03421592712402</v>
      </c>
      <c r="L91" s="40">
        <v>69.910736083984375</v>
      </c>
      <c r="M91" s="40">
        <v>100.21942138671881</v>
      </c>
      <c r="N91" s="40">
        <v>120.28623962402339</v>
      </c>
      <c r="O91" s="40">
        <v>47.492034912109382</v>
      </c>
      <c r="P91" s="40">
        <v>65.725074768066406</v>
      </c>
      <c r="Q91" s="40">
        <v>18.70999908447266</v>
      </c>
      <c r="R91" s="40">
        <v>128.1300048828125</v>
      </c>
      <c r="S91" s="40">
        <v>165.92283630371091</v>
      </c>
      <c r="T91" s="40">
        <v>120.2051544189453</v>
      </c>
      <c r="U91" s="40">
        <v>48.8892822265625</v>
      </c>
      <c r="V91" s="40">
        <v>173.35487365722659</v>
      </c>
      <c r="W91" s="40">
        <v>122.36480712890619</v>
      </c>
      <c r="X91" s="40">
        <v>129.33000183105469</v>
      </c>
      <c r="Y91" s="40">
        <v>99.699142456054688</v>
      </c>
      <c r="Z91" s="40">
        <v>64.345603942871094</v>
      </c>
      <c r="AA91" s="40">
        <v>34.131313323974609</v>
      </c>
      <c r="AB91" s="40">
        <v>76.701042175292969</v>
      </c>
      <c r="AC91" s="40">
        <v>120.4644088745117</v>
      </c>
      <c r="AD91" s="40">
        <v>65.975799560546875</v>
      </c>
      <c r="AE91" s="40">
        <v>31.98179817199707</v>
      </c>
      <c r="AF91" s="40">
        <v>63.173152923583977</v>
      </c>
      <c r="AG91" s="40">
        <v>30.00496864318848</v>
      </c>
      <c r="AH91" s="40">
        <v>28.000820159912109</v>
      </c>
      <c r="AI91" s="40">
        <v>32.139194488525391</v>
      </c>
      <c r="AJ91" s="40">
        <v>3.5588116645812988</v>
      </c>
      <c r="AK91" s="40">
        <v>24.217609405517582</v>
      </c>
      <c r="AL91" s="40">
        <v>28.127983093261719</v>
      </c>
      <c r="AM91" s="40">
        <v>68.661773681640625</v>
      </c>
      <c r="AN91" s="40">
        <v>137.5140380859375</v>
      </c>
      <c r="AO91" s="40">
        <v>10.05000019073486</v>
      </c>
      <c r="AP91" s="40">
        <v>42.89459228515625</v>
      </c>
      <c r="AQ91" s="40">
        <v>38.757358551025391</v>
      </c>
      <c r="AR91" s="40">
        <v>44.914913177490227</v>
      </c>
      <c r="AS91" s="40">
        <v>454.7684326171875</v>
      </c>
      <c r="AT91" s="40">
        <v>101.7883605957031</v>
      </c>
      <c r="AU91" s="40">
        <v>33.058280944824219</v>
      </c>
      <c r="AV91" s="40">
        <v>64.019615173339844</v>
      </c>
      <c r="AW91" s="40">
        <v>150.3718566894531</v>
      </c>
      <c r="AX91" s="40">
        <v>90.082832336425781</v>
      </c>
      <c r="AY91" s="40">
        <v>22.64338493347168</v>
      </c>
      <c r="AZ91" s="40">
        <v>2411.800048828125</v>
      </c>
    </row>
    <row r="92" spans="1:52" ht="16" x14ac:dyDescent="0.2">
      <c r="A92" s="41">
        <v>42887</v>
      </c>
      <c r="B92" s="42">
        <v>33.385162353515618</v>
      </c>
      <c r="C92" s="42">
        <v>41.035831451416023</v>
      </c>
      <c r="D92" s="42">
        <v>141.44000244140619</v>
      </c>
      <c r="E92" s="42">
        <v>37.200000762939453</v>
      </c>
      <c r="F92" s="42">
        <v>130.5061340332031</v>
      </c>
      <c r="G92" s="42">
        <v>48.400001525878913</v>
      </c>
      <c r="H92" s="42">
        <v>88.505424499511719</v>
      </c>
      <c r="I92" s="42">
        <v>28.581439971923832</v>
      </c>
      <c r="J92" s="42">
        <v>141.78680419921881</v>
      </c>
      <c r="K92" s="42">
        <v>23.858890533447269</v>
      </c>
      <c r="L92" s="42">
        <v>70.485008239746094</v>
      </c>
      <c r="M92" s="42">
        <v>98.650291442871094</v>
      </c>
      <c r="N92" s="42">
        <v>120.537956237793</v>
      </c>
      <c r="O92" s="42">
        <v>47.893680572509773</v>
      </c>
      <c r="P92" s="42">
        <v>65.877876281738281</v>
      </c>
      <c r="Q92" s="42">
        <v>24.629999160766602</v>
      </c>
      <c r="R92" s="42">
        <v>127.05999755859381</v>
      </c>
      <c r="S92" s="42">
        <v>161.7186584472656</v>
      </c>
      <c r="T92" s="42">
        <v>119.58111572265619</v>
      </c>
      <c r="U92" s="42">
        <v>46.045845031738281</v>
      </c>
      <c r="V92" s="42">
        <v>182.0858154296875</v>
      </c>
      <c r="W92" s="42">
        <v>122.27711486816411</v>
      </c>
      <c r="X92" s="42">
        <v>125.9100036621094</v>
      </c>
      <c r="Y92" s="42">
        <v>102.8397521972656</v>
      </c>
      <c r="Z92" s="42">
        <v>71.590858459472656</v>
      </c>
      <c r="AA92" s="42">
        <v>33.942970275878913</v>
      </c>
      <c r="AB92" s="42">
        <v>80.177680969238281</v>
      </c>
      <c r="AC92" s="42">
        <v>123.0431594848633</v>
      </c>
      <c r="AD92" s="42">
        <v>69.475006103515625</v>
      </c>
      <c r="AE92" s="42">
        <v>34.142524719238281</v>
      </c>
      <c r="AF92" s="42">
        <v>62.350013732910163</v>
      </c>
      <c r="AG92" s="42">
        <v>29.117597579956051</v>
      </c>
      <c r="AH92" s="42">
        <v>27.741481781005859</v>
      </c>
      <c r="AI92" s="42">
        <v>31.789937973022461</v>
      </c>
      <c r="AJ92" s="42">
        <v>3.563989400863647</v>
      </c>
      <c r="AK92" s="42">
        <v>22.687868118286129</v>
      </c>
      <c r="AL92" s="42">
        <v>29.532138824462891</v>
      </c>
      <c r="AM92" s="42">
        <v>67.929092407226562</v>
      </c>
      <c r="AN92" s="42">
        <v>139.56623840332031</v>
      </c>
      <c r="AO92" s="42">
        <v>9.3999996185302734</v>
      </c>
      <c r="AP92" s="42">
        <v>45.640289306640618</v>
      </c>
      <c r="AQ92" s="42">
        <v>36.468822479248047</v>
      </c>
      <c r="AR92" s="42">
        <v>43.307163238525391</v>
      </c>
      <c r="AS92" s="42">
        <v>486.548583984375</v>
      </c>
      <c r="AT92" s="42">
        <v>107.67592620849609</v>
      </c>
      <c r="AU92" s="42">
        <v>31.722066879272461</v>
      </c>
      <c r="AV92" s="42">
        <v>59.704547882080078</v>
      </c>
      <c r="AW92" s="42">
        <v>159.81903076171881</v>
      </c>
      <c r="AX92" s="42">
        <v>88.947647094726562</v>
      </c>
      <c r="AY92" s="42">
        <v>21.80217170715332</v>
      </c>
      <c r="AZ92" s="42">
        <v>2423.409912109375</v>
      </c>
    </row>
    <row r="93" spans="1:52" ht="16" x14ac:dyDescent="0.2">
      <c r="A93" s="39">
        <v>42917</v>
      </c>
      <c r="B93" s="40">
        <v>34.476982116699219</v>
      </c>
      <c r="C93" s="40">
        <v>41.746795654296882</v>
      </c>
      <c r="D93" s="40">
        <v>146.49000549316409</v>
      </c>
      <c r="E93" s="40">
        <v>33.950000762939453</v>
      </c>
      <c r="F93" s="40">
        <v>132.2337341308594</v>
      </c>
      <c r="G93" s="40">
        <v>49.388999938964837</v>
      </c>
      <c r="H93" s="40">
        <v>94.528106689453125</v>
      </c>
      <c r="I93" s="40">
        <v>29.70501708984375</v>
      </c>
      <c r="J93" s="40">
        <v>140.5279541015625</v>
      </c>
      <c r="K93" s="40">
        <v>24.197206497192379</v>
      </c>
      <c r="L93" s="40">
        <v>73.768394470214844</v>
      </c>
      <c r="M93" s="40">
        <v>102.8263702392578</v>
      </c>
      <c r="N93" s="40">
        <v>119.55726623535161</v>
      </c>
      <c r="O93" s="40">
        <v>47.885658264160163</v>
      </c>
      <c r="P93" s="40">
        <v>69.368881225585938</v>
      </c>
      <c r="Q93" s="40">
        <v>27.110000610351559</v>
      </c>
      <c r="R93" s="40">
        <v>120.75</v>
      </c>
      <c r="S93" s="40">
        <v>160.9508361816406</v>
      </c>
      <c r="T93" s="40">
        <v>113.3828964233398</v>
      </c>
      <c r="U93" s="40">
        <v>46.829391479492188</v>
      </c>
      <c r="V93" s="40">
        <v>184.90043640136719</v>
      </c>
      <c r="W93" s="40">
        <v>119.2480773925781</v>
      </c>
      <c r="X93" s="40">
        <v>133.28999328613281</v>
      </c>
      <c r="Y93" s="40">
        <v>103.1740417480469</v>
      </c>
      <c r="Z93" s="40">
        <v>72.299667358398438</v>
      </c>
      <c r="AA93" s="40">
        <v>34.692218780517578</v>
      </c>
      <c r="AB93" s="40">
        <v>82.351669311523438</v>
      </c>
      <c r="AC93" s="40">
        <v>124.6338577270508</v>
      </c>
      <c r="AD93" s="40">
        <v>66.075363159179688</v>
      </c>
      <c r="AE93" s="40">
        <v>36.126777648925781</v>
      </c>
      <c r="AF93" s="40">
        <v>65.7601318359375</v>
      </c>
      <c r="AG93" s="40">
        <v>27.420854568481449</v>
      </c>
      <c r="AH93" s="40">
        <v>28.921390533447269</v>
      </c>
      <c r="AI93" s="40">
        <v>34.639987945556641</v>
      </c>
      <c r="AJ93" s="40">
        <v>4.0065302848815918</v>
      </c>
      <c r="AK93" s="40">
        <v>25.47915077209473</v>
      </c>
      <c r="AL93" s="40">
        <v>32.029003143310547</v>
      </c>
      <c r="AM93" s="40">
        <v>71.345039367675781</v>
      </c>
      <c r="AN93" s="40">
        <v>144.945556640625</v>
      </c>
      <c r="AO93" s="40">
        <v>10.05000019073486</v>
      </c>
      <c r="AP93" s="40">
        <v>47.329231262207031</v>
      </c>
      <c r="AQ93" s="40">
        <v>39.815494537353523</v>
      </c>
      <c r="AR93" s="40">
        <v>41.715099334716797</v>
      </c>
      <c r="AS93" s="40">
        <v>487.02407836914062</v>
      </c>
      <c r="AT93" s="40">
        <v>103.4757843017578</v>
      </c>
      <c r="AU93" s="40">
        <v>30.904512405395511</v>
      </c>
      <c r="AV93" s="40">
        <v>63.543094635009773</v>
      </c>
      <c r="AW93" s="40">
        <v>165.32679748535159</v>
      </c>
      <c r="AX93" s="40">
        <v>84.088203430175781</v>
      </c>
      <c r="AY93" s="40">
        <v>23.043815612792969</v>
      </c>
      <c r="AZ93" s="40">
        <v>2470.300048828125</v>
      </c>
    </row>
    <row r="94" spans="1:52" ht="16" x14ac:dyDescent="0.2">
      <c r="A94" s="41">
        <v>42948</v>
      </c>
      <c r="B94" s="42">
        <v>38.166000366210938</v>
      </c>
      <c r="C94" s="42">
        <v>43.240776062011719</v>
      </c>
      <c r="D94" s="42">
        <v>155.1600036621094</v>
      </c>
      <c r="E94" s="42">
        <v>34.049999237060547</v>
      </c>
      <c r="F94" s="42">
        <v>135.6124572753906</v>
      </c>
      <c r="G94" s="42">
        <v>49.029998779296882</v>
      </c>
      <c r="H94" s="42">
        <v>97.464752197265625</v>
      </c>
      <c r="I94" s="42">
        <v>29.82252311706543</v>
      </c>
      <c r="J94" s="42">
        <v>139.40299987792969</v>
      </c>
      <c r="K94" s="42">
        <v>24.781936645507809</v>
      </c>
      <c r="L94" s="42">
        <v>73.438240051269531</v>
      </c>
      <c r="M94" s="42">
        <v>94.660484313964844</v>
      </c>
      <c r="N94" s="42">
        <v>121.03736877441411</v>
      </c>
      <c r="O94" s="42">
        <v>47.807510375976562</v>
      </c>
      <c r="P94" s="42">
        <v>61.968292236328118</v>
      </c>
      <c r="Q94" s="42">
        <v>29.239999771118161</v>
      </c>
      <c r="R94" s="42">
        <v>119.379997253418</v>
      </c>
      <c r="S94" s="42">
        <v>165.06626892089841</v>
      </c>
      <c r="T94" s="42">
        <v>108.6899948120117</v>
      </c>
      <c r="U94" s="42">
        <v>47.311794281005859</v>
      </c>
      <c r="V94" s="42">
        <v>184.22271728515619</v>
      </c>
      <c r="W94" s="42">
        <v>120.16973876953119</v>
      </c>
      <c r="X94" s="42">
        <v>137.4100036621094</v>
      </c>
      <c r="Y94" s="42">
        <v>103.5565185546875</v>
      </c>
      <c r="Z94" s="42">
        <v>71.582969665527344</v>
      </c>
      <c r="AA94" s="42">
        <v>34.472743988037109</v>
      </c>
      <c r="AB94" s="42">
        <v>78.034370422363281</v>
      </c>
      <c r="AC94" s="42">
        <v>129.2764892578125</v>
      </c>
      <c r="AD94" s="42">
        <v>63.439308166503913</v>
      </c>
      <c r="AE94" s="42">
        <v>35.048366546630859</v>
      </c>
      <c r="AF94" s="42">
        <v>67.992866516113281</v>
      </c>
      <c r="AG94" s="42">
        <v>31.175136566162109</v>
      </c>
      <c r="AH94" s="42">
        <v>29.991865158081051</v>
      </c>
      <c r="AI94" s="42">
        <v>30.842500686645511</v>
      </c>
      <c r="AJ94" s="42">
        <v>4.1810598373413086</v>
      </c>
      <c r="AK94" s="42">
        <v>22.54999923706055</v>
      </c>
      <c r="AL94" s="42">
        <v>31.082782745361332</v>
      </c>
      <c r="AM94" s="42">
        <v>72.484130859375</v>
      </c>
      <c r="AN94" s="42">
        <v>141.0916748046875</v>
      </c>
      <c r="AO94" s="42">
        <v>7.9000000953674316</v>
      </c>
      <c r="AP94" s="42">
        <v>49.313915252685547</v>
      </c>
      <c r="AQ94" s="42">
        <v>41.193527221679688</v>
      </c>
      <c r="AR94" s="42">
        <v>41.447650909423828</v>
      </c>
      <c r="AS94" s="42">
        <v>492.25473022460938</v>
      </c>
      <c r="AT94" s="42">
        <v>104.3561096191406</v>
      </c>
      <c r="AU94" s="42">
        <v>31.920576095581051</v>
      </c>
      <c r="AV94" s="42">
        <v>64.667495727539062</v>
      </c>
      <c r="AW94" s="42">
        <v>171.43785095214841</v>
      </c>
      <c r="AX94" s="42">
        <v>86.499855041503906</v>
      </c>
      <c r="AY94" s="42">
        <v>22.63216590881348</v>
      </c>
      <c r="AZ94" s="42">
        <v>2471.64990234375</v>
      </c>
    </row>
    <row r="95" spans="1:52" ht="16" x14ac:dyDescent="0.2">
      <c r="A95" s="39">
        <v>42979</v>
      </c>
      <c r="B95" s="40">
        <v>35.866729736328118</v>
      </c>
      <c r="C95" s="40">
        <v>45.295005798339837</v>
      </c>
      <c r="D95" s="40">
        <v>149.17999267578119</v>
      </c>
      <c r="E95" s="40">
        <v>35.299999237060547</v>
      </c>
      <c r="F95" s="40">
        <v>142.2340087890625</v>
      </c>
      <c r="G95" s="40">
        <v>48.067501068115227</v>
      </c>
      <c r="H95" s="40">
        <v>103.4541473388672</v>
      </c>
      <c r="I95" s="40">
        <v>28.258321762084961</v>
      </c>
      <c r="J95" s="40">
        <v>146.11787414550781</v>
      </c>
      <c r="K95" s="40">
        <v>25.874467849731449</v>
      </c>
      <c r="L95" s="40">
        <v>80.180206298828125</v>
      </c>
      <c r="M95" s="40">
        <v>92.200447082519531</v>
      </c>
      <c r="N95" s="40">
        <v>117.1094589233398</v>
      </c>
      <c r="O95" s="40">
        <v>50.884555816650391</v>
      </c>
      <c r="P95" s="40">
        <v>70.535476684570312</v>
      </c>
      <c r="Q95" s="40">
        <v>24.229999542236332</v>
      </c>
      <c r="R95" s="40">
        <v>120.55999755859381</v>
      </c>
      <c r="S95" s="40">
        <v>168.5339660644531</v>
      </c>
      <c r="T95" s="40">
        <v>108.12148284912109</v>
      </c>
      <c r="U95" s="40">
        <v>48.227088928222663</v>
      </c>
      <c r="V95" s="40">
        <v>195.29716491699219</v>
      </c>
      <c r="W95" s="40">
        <v>131.1467590332031</v>
      </c>
      <c r="X95" s="40">
        <v>116.7399978637695</v>
      </c>
      <c r="Y95" s="40">
        <v>101.7102584838867</v>
      </c>
      <c r="Z95" s="40">
        <v>75.221603393554688</v>
      </c>
      <c r="AA95" s="40">
        <v>34.335105895996087</v>
      </c>
      <c r="AB95" s="40">
        <v>82.838829040527344</v>
      </c>
      <c r="AC95" s="40">
        <v>126.6177978515625</v>
      </c>
      <c r="AD95" s="40">
        <v>61.560432434082031</v>
      </c>
      <c r="AE95" s="40">
        <v>37.10504150390625</v>
      </c>
      <c r="AF95" s="40">
        <v>67.738204956054688</v>
      </c>
      <c r="AG95" s="40">
        <v>38.352142333984382</v>
      </c>
      <c r="AH95" s="40">
        <v>29.202764511108398</v>
      </c>
      <c r="AI95" s="40">
        <v>34.911231994628913</v>
      </c>
      <c r="AJ95" s="40">
        <v>4.411285400390625</v>
      </c>
      <c r="AK95" s="40">
        <v>26.270000457763668</v>
      </c>
      <c r="AL95" s="40">
        <v>31.800172805786129</v>
      </c>
      <c r="AM95" s="40">
        <v>71.47076416015625</v>
      </c>
      <c r="AN95" s="40">
        <v>153.48292541503909</v>
      </c>
      <c r="AO95" s="40">
        <v>8.8500003814697266</v>
      </c>
      <c r="AP95" s="40">
        <v>49.726886749267578</v>
      </c>
      <c r="AQ95" s="40">
        <v>45.499900817871087</v>
      </c>
      <c r="AR95" s="40">
        <v>41.106674194335938</v>
      </c>
      <c r="AS95" s="40">
        <v>442.94012451171881</v>
      </c>
      <c r="AT95" s="40">
        <v>110.1295547485352</v>
      </c>
      <c r="AU95" s="40">
        <v>32.551925659179688</v>
      </c>
      <c r="AV95" s="40">
        <v>69.99267578125</v>
      </c>
      <c r="AW95" s="40">
        <v>169.4496154785156</v>
      </c>
      <c r="AX95" s="40">
        <v>95.264862060546875</v>
      </c>
      <c r="AY95" s="40">
        <v>22.652456283569339</v>
      </c>
      <c r="AZ95" s="40">
        <v>2519.360107421875</v>
      </c>
    </row>
    <row r="96" spans="1:52" ht="16" x14ac:dyDescent="0.2">
      <c r="A96" s="41">
        <v>43009</v>
      </c>
      <c r="B96" s="42">
        <v>39.338905334472663</v>
      </c>
      <c r="C96" s="42">
        <v>46.258686065673828</v>
      </c>
      <c r="D96" s="42">
        <v>175.1600036621094</v>
      </c>
      <c r="E96" s="42">
        <v>36</v>
      </c>
      <c r="F96" s="42">
        <v>133.6672058105469</v>
      </c>
      <c r="G96" s="42">
        <v>55.263999938964837</v>
      </c>
      <c r="H96" s="42">
        <v>113.3258895874023</v>
      </c>
      <c r="I96" s="42">
        <v>26.569709777832031</v>
      </c>
      <c r="J96" s="42">
        <v>143.262939453125</v>
      </c>
      <c r="K96" s="42">
        <v>26.501596450805661</v>
      </c>
      <c r="L96" s="42">
        <v>79.081565856933594</v>
      </c>
      <c r="M96" s="42">
        <v>91.489555358886719</v>
      </c>
      <c r="N96" s="42">
        <v>118.9761276245117</v>
      </c>
      <c r="O96" s="42">
        <v>52.196334838867188</v>
      </c>
      <c r="P96" s="42">
        <v>72.944465637207031</v>
      </c>
      <c r="Q96" s="42">
        <v>24.79000091552734</v>
      </c>
      <c r="R96" s="42">
        <v>121.26999664306641</v>
      </c>
      <c r="S96" s="42">
        <v>167.066650390625</v>
      </c>
      <c r="T96" s="42">
        <v>90.145957946777344</v>
      </c>
      <c r="U96" s="42">
        <v>51.165134429931641</v>
      </c>
      <c r="V96" s="42">
        <v>199.65284729003909</v>
      </c>
      <c r="W96" s="42">
        <v>132.92677307128909</v>
      </c>
      <c r="X96" s="42">
        <v>113.25</v>
      </c>
      <c r="Y96" s="42">
        <v>109.0641403198242</v>
      </c>
      <c r="Z96" s="42">
        <v>79.701438903808594</v>
      </c>
      <c r="AA96" s="42">
        <v>35.075065612792969</v>
      </c>
      <c r="AB96" s="42">
        <v>82.532363891601562</v>
      </c>
      <c r="AC96" s="42">
        <v>134.8849792480469</v>
      </c>
      <c r="AD96" s="42">
        <v>63.737270355224609</v>
      </c>
      <c r="AE96" s="42">
        <v>38.703815460205078</v>
      </c>
      <c r="AF96" s="42">
        <v>75.640579223632812</v>
      </c>
      <c r="AG96" s="42">
        <v>43.208324432373047</v>
      </c>
      <c r="AH96" s="42">
        <v>30.900529861450199</v>
      </c>
      <c r="AI96" s="42">
        <v>35.597904205322273</v>
      </c>
      <c r="AJ96" s="42">
        <v>5.1031908988952637</v>
      </c>
      <c r="AK96" s="42">
        <v>20.219999313354489</v>
      </c>
      <c r="AL96" s="42">
        <v>31.145917892456051</v>
      </c>
      <c r="AM96" s="42">
        <v>68.333984375</v>
      </c>
      <c r="AN96" s="42">
        <v>160.13896179199219</v>
      </c>
      <c r="AO96" s="42">
        <v>9.6999998092651367</v>
      </c>
      <c r="AP96" s="42">
        <v>50.6044921875</v>
      </c>
      <c r="AQ96" s="42">
        <v>47.050197601318359</v>
      </c>
      <c r="AR96" s="42">
        <v>40.448532104492188</v>
      </c>
      <c r="AS96" s="42">
        <v>398.85604858398438</v>
      </c>
      <c r="AT96" s="42">
        <v>121.5442199707031</v>
      </c>
      <c r="AU96" s="42">
        <v>30.81680870056152</v>
      </c>
      <c r="AV96" s="42">
        <v>75.980636596679688</v>
      </c>
      <c r="AW96" s="42">
        <v>181.8825378417969</v>
      </c>
      <c r="AX96" s="42">
        <v>95.116989135742188</v>
      </c>
      <c r="AY96" s="42">
        <v>25.310794830322269</v>
      </c>
      <c r="AZ96" s="42">
        <v>2575.260009765625</v>
      </c>
    </row>
    <row r="97" spans="1:52" ht="16" x14ac:dyDescent="0.2">
      <c r="A97" s="39">
        <v>43040</v>
      </c>
      <c r="B97" s="40">
        <v>40.136631011962891</v>
      </c>
      <c r="C97" s="40">
        <v>48.084125518798828</v>
      </c>
      <c r="D97" s="40">
        <v>181.4700012207031</v>
      </c>
      <c r="E97" s="40">
        <v>33.299999237060547</v>
      </c>
      <c r="F97" s="40">
        <v>134.91883850097659</v>
      </c>
      <c r="G97" s="40">
        <v>58.837501525878913</v>
      </c>
      <c r="H97" s="40">
        <v>117.7904891967773</v>
      </c>
      <c r="I97" s="40">
        <v>27.683223724365231</v>
      </c>
      <c r="J97" s="40">
        <v>164.5169372558594</v>
      </c>
      <c r="K97" s="40">
        <v>28.946100234985352</v>
      </c>
      <c r="L97" s="40">
        <v>81.957054138183594</v>
      </c>
      <c r="M97" s="40">
        <v>98.046585083007812</v>
      </c>
      <c r="N97" s="40">
        <v>123.7657470703125</v>
      </c>
      <c r="O97" s="40">
        <v>52.918544769287109</v>
      </c>
      <c r="P97" s="40">
        <v>74.733955383300781</v>
      </c>
      <c r="Q97" s="40">
        <v>27.079999923706051</v>
      </c>
      <c r="R97" s="40">
        <v>134.19999694824219</v>
      </c>
      <c r="S97" s="40">
        <v>170.5071105957031</v>
      </c>
      <c r="T97" s="40">
        <v>81.784202575683594</v>
      </c>
      <c r="U97" s="40">
        <v>51.320148468017578</v>
      </c>
      <c r="V97" s="40">
        <v>204.54225158691409</v>
      </c>
      <c r="W97" s="40">
        <v>144.91496276855469</v>
      </c>
      <c r="X97" s="40">
        <v>98.989997863769531</v>
      </c>
      <c r="Y97" s="40">
        <v>109.669059753418</v>
      </c>
      <c r="Z97" s="40">
        <v>82.798843383789062</v>
      </c>
      <c r="AA97" s="40">
        <v>35.201122283935547</v>
      </c>
      <c r="AB97" s="40">
        <v>84.866783142089844</v>
      </c>
      <c r="AC97" s="40">
        <v>139.8026428222656</v>
      </c>
      <c r="AD97" s="40">
        <v>65.011680603027344</v>
      </c>
      <c r="AE97" s="40">
        <v>39.9500732421875</v>
      </c>
      <c r="AF97" s="40">
        <v>76.925224304199219</v>
      </c>
      <c r="AG97" s="40">
        <v>41.336074829101562</v>
      </c>
      <c r="AH97" s="40">
        <v>31.691793441772461</v>
      </c>
      <c r="AI97" s="40">
        <v>45.2867431640625</v>
      </c>
      <c r="AJ97" s="40">
        <v>4.9561104774475098</v>
      </c>
      <c r="AK97" s="40">
        <v>19.54000091552734</v>
      </c>
      <c r="AL97" s="40">
        <v>30.207582473754879</v>
      </c>
      <c r="AM97" s="40">
        <v>71.222747802734375</v>
      </c>
      <c r="AN97" s="40">
        <v>165.0074768066406</v>
      </c>
      <c r="AO97" s="40">
        <v>9.6499996185302734</v>
      </c>
      <c r="AP97" s="40">
        <v>51.897418975830078</v>
      </c>
      <c r="AQ97" s="40">
        <v>39.963134765625</v>
      </c>
      <c r="AR97" s="40">
        <v>53.048255920410163</v>
      </c>
      <c r="AS97" s="40">
        <v>358.47711181640619</v>
      </c>
      <c r="AT97" s="40">
        <v>123.1288299560547</v>
      </c>
      <c r="AU97" s="40">
        <v>33.509014129638672</v>
      </c>
      <c r="AV97" s="40">
        <v>76.452125549316406</v>
      </c>
      <c r="AW97" s="40">
        <v>198.07940673828119</v>
      </c>
      <c r="AX97" s="40">
        <v>104.4997863769531</v>
      </c>
      <c r="AY97" s="40">
        <v>28.186565399169918</v>
      </c>
      <c r="AZ97" s="40">
        <v>2647.580078125</v>
      </c>
    </row>
    <row r="98" spans="1:52" ht="16" x14ac:dyDescent="0.2">
      <c r="A98" s="41">
        <v>43070</v>
      </c>
      <c r="B98" s="42">
        <v>39.524692535400391</v>
      </c>
      <c r="C98" s="42">
        <v>48.681240081787109</v>
      </c>
      <c r="D98" s="42">
        <v>175.24000549316409</v>
      </c>
      <c r="E98" s="42">
        <v>34.799999237060547</v>
      </c>
      <c r="F98" s="42">
        <v>133.56707763671881</v>
      </c>
      <c r="G98" s="42">
        <v>58.473499298095703</v>
      </c>
      <c r="H98" s="42">
        <v>131.50141906738281</v>
      </c>
      <c r="I98" s="42">
        <v>29.5341796875</v>
      </c>
      <c r="J98" s="42">
        <v>166.0244140625</v>
      </c>
      <c r="K98" s="42">
        <v>29.722141265869141</v>
      </c>
      <c r="L98" s="42">
        <v>86.227439880371094</v>
      </c>
      <c r="M98" s="42">
        <v>101.371711730957</v>
      </c>
      <c r="N98" s="42">
        <v>122.5530242919922</v>
      </c>
      <c r="O98" s="42">
        <v>56.894371032714837</v>
      </c>
      <c r="P98" s="42">
        <v>78.816825866699219</v>
      </c>
      <c r="Q98" s="42">
        <v>30.39999961853027</v>
      </c>
      <c r="R98" s="42">
        <v>131.2200012207031</v>
      </c>
      <c r="S98" s="42">
        <v>167.4534912109375</v>
      </c>
      <c r="T98" s="42">
        <v>78.566848754882812</v>
      </c>
      <c r="U98" s="42">
        <v>52.173530578613281</v>
      </c>
      <c r="V98" s="42">
        <v>210.42311096191409</v>
      </c>
      <c r="W98" s="42">
        <v>152.74006652832031</v>
      </c>
      <c r="X98" s="42">
        <v>94.709999084472656</v>
      </c>
      <c r="Y98" s="42">
        <v>109.9760208129883</v>
      </c>
      <c r="Z98" s="42">
        <v>84.715927124023438</v>
      </c>
      <c r="AA98" s="42">
        <v>35.28570556640625</v>
      </c>
      <c r="AB98" s="42">
        <v>79.774581909179688</v>
      </c>
      <c r="AC98" s="42">
        <v>139.9245300292969</v>
      </c>
      <c r="AD98" s="42">
        <v>64.280998229980469</v>
      </c>
      <c r="AE98" s="42">
        <v>40.615779876708977</v>
      </c>
      <c r="AF98" s="42">
        <v>78.177314758300781</v>
      </c>
      <c r="AG98" s="42">
        <v>40.097640991210938</v>
      </c>
      <c r="AH98" s="42">
        <v>31.320808410644531</v>
      </c>
      <c r="AI98" s="42">
        <v>44.333095550537109</v>
      </c>
      <c r="AJ98" s="42">
        <v>4.778076171875</v>
      </c>
      <c r="AK98" s="42">
        <v>21.139999389648441</v>
      </c>
      <c r="AL98" s="42">
        <v>31.109745025634769</v>
      </c>
      <c r="AM98" s="42">
        <v>72.718620300292969</v>
      </c>
      <c r="AN98" s="42">
        <v>175.6477355957031</v>
      </c>
      <c r="AO98" s="42">
        <v>8.5299997329711914</v>
      </c>
      <c r="AP98" s="42">
        <v>50.889369964599609</v>
      </c>
      <c r="AQ98" s="42">
        <v>37.010196685791023</v>
      </c>
      <c r="AR98" s="42">
        <v>51.193077087402337</v>
      </c>
      <c r="AS98" s="42">
        <v>372.44534301757812</v>
      </c>
      <c r="AT98" s="42">
        <v>126.4026641845703</v>
      </c>
      <c r="AU98" s="42">
        <v>33.912628173828118</v>
      </c>
      <c r="AV98" s="42">
        <v>82.070701599121094</v>
      </c>
      <c r="AW98" s="42">
        <v>191.38621520996091</v>
      </c>
      <c r="AX98" s="42">
        <v>110.7780685424805</v>
      </c>
      <c r="AY98" s="42">
        <v>28.778079986572269</v>
      </c>
      <c r="AZ98" s="42">
        <v>2673.610107421875</v>
      </c>
    </row>
    <row r="99" spans="1:52" ht="16" x14ac:dyDescent="0.2">
      <c r="A99" s="39">
        <v>43101</v>
      </c>
      <c r="B99" s="40">
        <v>39.104301452636719</v>
      </c>
      <c r="C99" s="40">
        <v>53.276622772216797</v>
      </c>
      <c r="D99" s="40">
        <v>199.75999450683591</v>
      </c>
      <c r="E99" s="40">
        <v>35.849998474121087</v>
      </c>
      <c r="F99" s="40">
        <v>142.89909362792969</v>
      </c>
      <c r="G99" s="40">
        <v>72.544502258300781</v>
      </c>
      <c r="H99" s="40">
        <v>136.4713439941406</v>
      </c>
      <c r="I99" s="40">
        <v>31.487228393554691</v>
      </c>
      <c r="J99" s="40">
        <v>173.82972717285159</v>
      </c>
      <c r="K99" s="40">
        <v>32.476943969726562</v>
      </c>
      <c r="L99" s="40">
        <v>86.337646484375</v>
      </c>
      <c r="M99" s="40">
        <v>102.4654846191406</v>
      </c>
      <c r="N99" s="40">
        <v>125.74973297119141</v>
      </c>
      <c r="O99" s="40">
        <v>58.968017578125</v>
      </c>
      <c r="P99" s="40">
        <v>84.117477416992188</v>
      </c>
      <c r="Q99" s="40">
        <v>30.309999465942379</v>
      </c>
      <c r="R99" s="40">
        <v>144.53999328613281</v>
      </c>
      <c r="S99" s="40">
        <v>183.85716247558591</v>
      </c>
      <c r="T99" s="40">
        <v>72.803825378417969</v>
      </c>
      <c r="U99" s="40">
        <v>58.553817749023438</v>
      </c>
      <c r="V99" s="40">
        <v>221.26806640625</v>
      </c>
      <c r="W99" s="40">
        <v>161.9030456542969</v>
      </c>
      <c r="X99" s="40">
        <v>90.290000915527344</v>
      </c>
      <c r="Y99" s="40">
        <v>108.771728515625</v>
      </c>
      <c r="Z99" s="40">
        <v>92.1090087890625</v>
      </c>
      <c r="AA99" s="40">
        <v>36.600852966308587</v>
      </c>
      <c r="AB99" s="40">
        <v>80.688140869140625</v>
      </c>
      <c r="AC99" s="40">
        <v>139.12782287597659</v>
      </c>
      <c r="AD99" s="40">
        <v>68.372657775878906</v>
      </c>
      <c r="AE99" s="40">
        <v>43.965328216552727</v>
      </c>
      <c r="AF99" s="40">
        <v>86.83221435546875</v>
      </c>
      <c r="AG99" s="40">
        <v>42.632991790771477</v>
      </c>
      <c r="AH99" s="40">
        <v>31.767990112304691</v>
      </c>
      <c r="AI99" s="40">
        <v>49.459030151367188</v>
      </c>
      <c r="AJ99" s="40">
        <v>6.0695152282714844</v>
      </c>
      <c r="AK99" s="40">
        <v>20.680000305175781</v>
      </c>
      <c r="AL99" s="40">
        <v>34.699607849121087</v>
      </c>
      <c r="AM99" s="40">
        <v>68.85491943359375</v>
      </c>
      <c r="AN99" s="40">
        <v>177.2671203613281</v>
      </c>
      <c r="AO99" s="40">
        <v>8.3999996185302734</v>
      </c>
      <c r="AP99" s="40">
        <v>51.362689971923828</v>
      </c>
      <c r="AQ99" s="40">
        <v>37.994510650634773</v>
      </c>
      <c r="AR99" s="40">
        <v>54.5755615234375</v>
      </c>
      <c r="AS99" s="40">
        <v>363.222412109375</v>
      </c>
      <c r="AT99" s="40">
        <v>128.5821533203125</v>
      </c>
      <c r="AU99" s="40">
        <v>35.624668121337891</v>
      </c>
      <c r="AV99" s="40">
        <v>86.657455444335938</v>
      </c>
      <c r="AW99" s="40">
        <v>205.553955078125</v>
      </c>
      <c r="AX99" s="40">
        <v>110.2823944091797</v>
      </c>
      <c r="AY99" s="40">
        <v>31.065755844116211</v>
      </c>
      <c r="AZ99" s="40">
        <v>2823.81005859375</v>
      </c>
    </row>
    <row r="100" spans="1:52" ht="16" x14ac:dyDescent="0.2">
      <c r="A100" s="41">
        <v>43132</v>
      </c>
      <c r="B100" s="42">
        <v>41.770622253417969</v>
      </c>
      <c r="C100" s="42">
        <v>51.708145141601562</v>
      </c>
      <c r="D100" s="42">
        <v>209.1300048828125</v>
      </c>
      <c r="E100" s="42">
        <v>34.349998474121087</v>
      </c>
      <c r="F100" s="42">
        <v>142.21485900878909</v>
      </c>
      <c r="G100" s="42">
        <v>75.62249755859375</v>
      </c>
      <c r="H100" s="42">
        <v>129.6385803222656</v>
      </c>
      <c r="I100" s="42">
        <v>26.808200836181641</v>
      </c>
      <c r="J100" s="42">
        <v>170.7440490722656</v>
      </c>
      <c r="K100" s="42">
        <v>35.010047912597663</v>
      </c>
      <c r="L100" s="42">
        <v>77.854812622070312</v>
      </c>
      <c r="M100" s="42">
        <v>97.27008056640625</v>
      </c>
      <c r="N100" s="42">
        <v>119.1462478637695</v>
      </c>
      <c r="O100" s="42">
        <v>58.410099029541023</v>
      </c>
      <c r="P100" s="42">
        <v>74.184295654296875</v>
      </c>
      <c r="Q100" s="42">
        <v>25.79999923706055</v>
      </c>
      <c r="R100" s="42">
        <v>148.52000427246091</v>
      </c>
      <c r="S100" s="42">
        <v>183.83235168457031</v>
      </c>
      <c r="T100" s="42">
        <v>64.054611206054688</v>
      </c>
      <c r="U100" s="42">
        <v>54.675727844238281</v>
      </c>
      <c r="V100" s="42">
        <v>217.78086853027341</v>
      </c>
      <c r="W100" s="42">
        <v>146.88938903808591</v>
      </c>
      <c r="X100" s="42">
        <v>85.160003662109375</v>
      </c>
      <c r="Y100" s="42">
        <v>102.8854141235352</v>
      </c>
      <c r="Z100" s="42">
        <v>91.973640441894531</v>
      </c>
      <c r="AA100" s="42">
        <v>33.239940643310547</v>
      </c>
      <c r="AB100" s="42">
        <v>80.254531860351562</v>
      </c>
      <c r="AC100" s="42">
        <v>129.04559326171881</v>
      </c>
      <c r="AD100" s="42">
        <v>63.596359252929688</v>
      </c>
      <c r="AE100" s="42">
        <v>43.55328369140625</v>
      </c>
      <c r="AF100" s="42">
        <v>86.10150146484375</v>
      </c>
      <c r="AG100" s="42">
        <v>47.596443176269531</v>
      </c>
      <c r="AH100" s="42">
        <v>30.728948593139648</v>
      </c>
      <c r="AI100" s="42">
        <v>48.695030212402337</v>
      </c>
      <c r="AJ100" s="42">
        <v>5.9793953895568848</v>
      </c>
      <c r="AK100" s="42">
        <v>18.379999160766602</v>
      </c>
      <c r="AL100" s="42">
        <v>33.208095550537109</v>
      </c>
      <c r="AM100" s="42">
        <v>62.618568420410163</v>
      </c>
      <c r="AN100" s="42">
        <v>157.6366882324219</v>
      </c>
      <c r="AO100" s="42">
        <v>7.8000001907348633</v>
      </c>
      <c r="AP100" s="42">
        <v>47.868045806884773</v>
      </c>
      <c r="AQ100" s="42">
        <v>37.674610137939453</v>
      </c>
      <c r="AR100" s="42">
        <v>52.422832489013672</v>
      </c>
      <c r="AS100" s="42">
        <v>317.4443359375</v>
      </c>
      <c r="AT100" s="42">
        <v>124.062141418457</v>
      </c>
      <c r="AU100" s="42">
        <v>36.823974609375</v>
      </c>
      <c r="AV100" s="42">
        <v>85.614463806152344</v>
      </c>
      <c r="AW100" s="42">
        <v>196.33448791503909</v>
      </c>
      <c r="AX100" s="42">
        <v>108.1665420532227</v>
      </c>
      <c r="AY100" s="42">
        <v>26.231039047241211</v>
      </c>
      <c r="AZ100" s="42">
        <v>2713.830078125</v>
      </c>
    </row>
    <row r="101" spans="1:52" ht="16" x14ac:dyDescent="0.2">
      <c r="A101" s="39">
        <v>43160</v>
      </c>
      <c r="B101" s="40">
        <v>39.345817565917969</v>
      </c>
      <c r="C101" s="40">
        <v>51.356739044189453</v>
      </c>
      <c r="D101" s="40">
        <v>216.08000183105469</v>
      </c>
      <c r="E101" s="40">
        <v>48.650001525878913</v>
      </c>
      <c r="F101" s="40">
        <v>131.9300842285156</v>
      </c>
      <c r="G101" s="40">
        <v>72.366996765136719</v>
      </c>
      <c r="H101" s="40">
        <v>123.56031799316411</v>
      </c>
      <c r="I101" s="40">
        <v>25.29787445068359</v>
      </c>
      <c r="J101" s="40">
        <v>168.53486633300781</v>
      </c>
      <c r="K101" s="40">
        <v>33.532402038574219</v>
      </c>
      <c r="L101" s="40">
        <v>79.329536437988281</v>
      </c>
      <c r="M101" s="40">
        <v>94.70538330078125</v>
      </c>
      <c r="N101" s="40">
        <v>125.56545257568359</v>
      </c>
      <c r="O101" s="40">
        <v>56.141433715820312</v>
      </c>
      <c r="P101" s="40">
        <v>77.000396728515625</v>
      </c>
      <c r="Q101" s="40">
        <v>22.14999961853027</v>
      </c>
      <c r="R101" s="40">
        <v>144.61000061035159</v>
      </c>
      <c r="S101" s="40">
        <v>182.55145263671881</v>
      </c>
      <c r="T101" s="40">
        <v>61.194633483886719</v>
      </c>
      <c r="U101" s="40">
        <v>51.368190765380859</v>
      </c>
      <c r="V101" s="40">
        <v>208.61177062988281</v>
      </c>
      <c r="W101" s="40">
        <v>144.4607849121094</v>
      </c>
      <c r="X101" s="40">
        <v>83.330001831054688</v>
      </c>
      <c r="Y101" s="40">
        <v>101.5149765014648</v>
      </c>
      <c r="Z101" s="40">
        <v>87.570045471191406</v>
      </c>
      <c r="AA101" s="40">
        <v>33.696296691894531</v>
      </c>
      <c r="AB101" s="40">
        <v>82.976890563964844</v>
      </c>
      <c r="AC101" s="40">
        <v>127.932991027832</v>
      </c>
      <c r="AD101" s="40">
        <v>64.228195190429688</v>
      </c>
      <c r="AE101" s="40">
        <v>41.951709747314453</v>
      </c>
      <c r="AF101" s="40">
        <v>83.80596923828125</v>
      </c>
      <c r="AG101" s="40">
        <v>50.843654632568359</v>
      </c>
      <c r="AH101" s="40">
        <v>32.986915588378913</v>
      </c>
      <c r="AI101" s="40">
        <v>49.611839294433587</v>
      </c>
      <c r="AJ101" s="40">
        <v>5.7221822738647461</v>
      </c>
      <c r="AK101" s="40">
        <v>18.54000091552734</v>
      </c>
      <c r="AL101" s="40">
        <v>33.555915832519531</v>
      </c>
      <c r="AM101" s="40">
        <v>63.224651336669922</v>
      </c>
      <c r="AN101" s="40">
        <v>151.06517028808591</v>
      </c>
      <c r="AO101" s="40">
        <v>8.25</v>
      </c>
      <c r="AP101" s="40">
        <v>50.069576263427727</v>
      </c>
      <c r="AQ101" s="40">
        <v>38.240589141845703</v>
      </c>
      <c r="AR101" s="40">
        <v>44.688461303710938</v>
      </c>
      <c r="AS101" s="40">
        <v>341.1407470703125</v>
      </c>
      <c r="AT101" s="40">
        <v>121.1396179199219</v>
      </c>
      <c r="AU101" s="40">
        <v>36.325141906738281</v>
      </c>
      <c r="AV101" s="40">
        <v>82.090278625488281</v>
      </c>
      <c r="AW101" s="40">
        <v>186.39323425292969</v>
      </c>
      <c r="AX101" s="40">
        <v>111.637825012207</v>
      </c>
      <c r="AY101" s="40">
        <v>26.082538604736332</v>
      </c>
      <c r="AZ101" s="40">
        <v>2640.8701171875</v>
      </c>
    </row>
    <row r="102" spans="1:52" ht="16" x14ac:dyDescent="0.2">
      <c r="A102" s="41">
        <v>43191</v>
      </c>
      <c r="B102" s="42">
        <v>38.754848480224609</v>
      </c>
      <c r="C102" s="42">
        <v>50.062370300292969</v>
      </c>
      <c r="D102" s="42">
        <v>221.6000061035156</v>
      </c>
      <c r="E102" s="42">
        <v>52.5</v>
      </c>
      <c r="F102" s="42">
        <v>135.02558898925781</v>
      </c>
      <c r="G102" s="42">
        <v>78.306503295898438</v>
      </c>
      <c r="H102" s="42">
        <v>121.6377716064453</v>
      </c>
      <c r="I102" s="42">
        <v>23.37216949462891</v>
      </c>
      <c r="J102" s="42">
        <v>176.34307861328119</v>
      </c>
      <c r="K102" s="42">
        <v>34.905323028564453</v>
      </c>
      <c r="L102" s="42">
        <v>87.030166625976562</v>
      </c>
      <c r="M102" s="42">
        <v>94.601661682128906</v>
      </c>
      <c r="N102" s="42">
        <v>132.61915588378909</v>
      </c>
      <c r="O102" s="42">
        <v>54.587875366210938</v>
      </c>
      <c r="P102" s="42">
        <v>86.581817626953125</v>
      </c>
      <c r="Q102" s="42">
        <v>20.819999694824219</v>
      </c>
      <c r="R102" s="42">
        <v>163.0899963378906</v>
      </c>
      <c r="S102" s="42">
        <v>167.08058166503909</v>
      </c>
      <c r="T102" s="42">
        <v>63.873031616210938</v>
      </c>
      <c r="U102" s="42">
        <v>50.448947906494141</v>
      </c>
      <c r="V102" s="42">
        <v>197.40504455566409</v>
      </c>
      <c r="W102" s="42">
        <v>149.777587890625</v>
      </c>
      <c r="X102" s="42">
        <v>61.939998626708977</v>
      </c>
      <c r="Y102" s="42">
        <v>100.1999893188477</v>
      </c>
      <c r="Z102" s="42">
        <v>87.061698913574219</v>
      </c>
      <c r="AA102" s="42">
        <v>33.525608062744141</v>
      </c>
      <c r="AB102" s="42">
        <v>79.728218078613281</v>
      </c>
      <c r="AC102" s="42">
        <v>136.9810791015625</v>
      </c>
      <c r="AD102" s="42">
        <v>64.156135559082031</v>
      </c>
      <c r="AE102" s="42">
        <v>40.325595855712891</v>
      </c>
      <c r="AF102" s="42">
        <v>85.871940612792969</v>
      </c>
      <c r="AG102" s="42">
        <v>44.836807250976562</v>
      </c>
      <c r="AH102" s="42">
        <v>33.104053497314453</v>
      </c>
      <c r="AI102" s="42">
        <v>53.717403411865227</v>
      </c>
      <c r="AJ102" s="42">
        <v>5.5568842887878418</v>
      </c>
      <c r="AK102" s="42">
        <v>21.239999771118161</v>
      </c>
      <c r="AL102" s="42">
        <v>35.977027893066413</v>
      </c>
      <c r="AM102" s="42">
        <v>58.223964691162109</v>
      </c>
      <c r="AN102" s="42">
        <v>145.4034423828125</v>
      </c>
      <c r="AO102" s="42">
        <v>7.6500000953674316</v>
      </c>
      <c r="AP102" s="42">
        <v>51.595729827880859</v>
      </c>
      <c r="AQ102" s="42">
        <v>39.298728942871087</v>
      </c>
      <c r="AR102" s="42">
        <v>41.139842987060547</v>
      </c>
      <c r="AS102" s="42">
        <v>300.84103393554688</v>
      </c>
      <c r="AT102" s="42">
        <v>113.5830612182617</v>
      </c>
      <c r="AU102" s="42">
        <v>37.790447235107422</v>
      </c>
      <c r="AV102" s="42">
        <v>80.146514892578125</v>
      </c>
      <c r="AW102" s="42">
        <v>205.90357971191409</v>
      </c>
      <c r="AX102" s="42">
        <v>110.97348785400391</v>
      </c>
      <c r="AY102" s="42">
        <v>25.933025360107418</v>
      </c>
      <c r="AZ102" s="42">
        <v>2648.050048828125</v>
      </c>
    </row>
    <row r="103" spans="1:52" ht="16" x14ac:dyDescent="0.2">
      <c r="A103" s="39">
        <v>43221</v>
      </c>
      <c r="B103" s="40">
        <v>43.991569519042969</v>
      </c>
      <c r="C103" s="40">
        <v>52.990505218505859</v>
      </c>
      <c r="D103" s="40">
        <v>249.2799987792969</v>
      </c>
      <c r="E103" s="40">
        <v>57.25</v>
      </c>
      <c r="F103" s="40">
        <v>140.07618713378909</v>
      </c>
      <c r="G103" s="40">
        <v>81.481002807617188</v>
      </c>
      <c r="H103" s="40">
        <v>127.99941253662109</v>
      </c>
      <c r="I103" s="40">
        <v>23.215812683105469</v>
      </c>
      <c r="J103" s="40">
        <v>177.82612609863281</v>
      </c>
      <c r="K103" s="40">
        <v>33.66009521484375</v>
      </c>
      <c r="L103" s="40">
        <v>87.220703125</v>
      </c>
      <c r="M103" s="40">
        <v>93.790748596191406</v>
      </c>
      <c r="N103" s="40">
        <v>130.6404724121094</v>
      </c>
      <c r="O103" s="40">
        <v>58.624542236328118</v>
      </c>
      <c r="P103" s="40">
        <v>86.318046569824219</v>
      </c>
      <c r="Q103" s="40">
        <v>20.729999542236332</v>
      </c>
      <c r="R103" s="40">
        <v>173.11000061035159</v>
      </c>
      <c r="S103" s="40">
        <v>167.41258239746091</v>
      </c>
      <c r="T103" s="40">
        <v>63.918407440185547</v>
      </c>
      <c r="U103" s="40">
        <v>54.481575012207031</v>
      </c>
      <c r="V103" s="40">
        <v>187.7545471191406</v>
      </c>
      <c r="W103" s="40">
        <v>152.04243469238281</v>
      </c>
      <c r="X103" s="40">
        <v>68.269996643066406</v>
      </c>
      <c r="Y103" s="40">
        <v>95.46063232421875</v>
      </c>
      <c r="Z103" s="40">
        <v>85.645118713378906</v>
      </c>
      <c r="AA103" s="40">
        <v>33.362674713134773</v>
      </c>
      <c r="AB103" s="40">
        <v>89.595443725585938</v>
      </c>
      <c r="AC103" s="40">
        <v>130.90263366699219</v>
      </c>
      <c r="AD103" s="40">
        <v>69.112152099609375</v>
      </c>
      <c r="AE103" s="40">
        <v>39.169410705566413</v>
      </c>
      <c r="AF103" s="40">
        <v>91.150245666503906</v>
      </c>
      <c r="AG103" s="40">
        <v>56.158161163330078</v>
      </c>
      <c r="AH103" s="40">
        <v>33.487785339355469</v>
      </c>
      <c r="AI103" s="40">
        <v>55.121234893798828</v>
      </c>
      <c r="AJ103" s="40">
        <v>6.2350258827209473</v>
      </c>
      <c r="AK103" s="40">
        <v>23.829999923706051</v>
      </c>
      <c r="AL103" s="40">
        <v>40.720592498779297</v>
      </c>
      <c r="AM103" s="40">
        <v>58.891998291015618</v>
      </c>
      <c r="AN103" s="40">
        <v>151.62376403808591</v>
      </c>
      <c r="AO103" s="40">
        <v>8.6999998092651367</v>
      </c>
      <c r="AP103" s="40">
        <v>51.150592803955078</v>
      </c>
      <c r="AQ103" s="40">
        <v>44.761661529541023</v>
      </c>
      <c r="AR103" s="40">
        <v>47.363838195800781</v>
      </c>
      <c r="AS103" s="40">
        <v>297.51248168945312</v>
      </c>
      <c r="AT103" s="40">
        <v>117.42861175537109</v>
      </c>
      <c r="AU103" s="40">
        <v>40.410808563232422</v>
      </c>
      <c r="AV103" s="40">
        <v>88.959823608398438</v>
      </c>
      <c r="AW103" s="40">
        <v>210.3543701171875</v>
      </c>
      <c r="AX103" s="40">
        <v>119.1593856811523</v>
      </c>
      <c r="AY103" s="40">
        <v>24.349956512451168</v>
      </c>
      <c r="AZ103" s="40">
        <v>2705.27001953125</v>
      </c>
    </row>
    <row r="104" spans="1:52" ht="16" x14ac:dyDescent="0.2">
      <c r="A104" s="41">
        <v>43252</v>
      </c>
      <c r="B104" s="42">
        <v>43.577239990234382</v>
      </c>
      <c r="C104" s="42">
        <v>52.525447845458977</v>
      </c>
      <c r="D104" s="42">
        <v>243.80999755859381</v>
      </c>
      <c r="E104" s="42">
        <v>57.25</v>
      </c>
      <c r="F104" s="42">
        <v>143.95204162597659</v>
      </c>
      <c r="G104" s="42">
        <v>84.989997863769531</v>
      </c>
      <c r="H104" s="42">
        <v>114.31553649902339</v>
      </c>
      <c r="I104" s="42">
        <v>24.42946815490723</v>
      </c>
      <c r="J104" s="42">
        <v>187.46014404296881</v>
      </c>
      <c r="K104" s="42">
        <v>33.912303924560547</v>
      </c>
      <c r="L104" s="42">
        <v>88.715301513671875</v>
      </c>
      <c r="M104" s="42">
        <v>98.82586669921875</v>
      </c>
      <c r="N104" s="42">
        <v>128.91241455078119</v>
      </c>
      <c r="O104" s="42">
        <v>57.217700958251953</v>
      </c>
      <c r="P104" s="42">
        <v>91.16845703125</v>
      </c>
      <c r="Q104" s="42">
        <v>21.520000457763668</v>
      </c>
      <c r="R104" s="42">
        <v>172.44999694824219</v>
      </c>
      <c r="S104" s="42">
        <v>154.71412658691409</v>
      </c>
      <c r="T104" s="42">
        <v>62.333183288574219</v>
      </c>
      <c r="U104" s="42">
        <v>55.927310943603523</v>
      </c>
      <c r="V104" s="42">
        <v>183.3408203125</v>
      </c>
      <c r="W104" s="42">
        <v>159.0108947753906</v>
      </c>
      <c r="X104" s="42">
        <v>67</v>
      </c>
      <c r="Y104" s="42">
        <v>96.833251953125</v>
      </c>
      <c r="Z104" s="42">
        <v>83.3961181640625</v>
      </c>
      <c r="AA104" s="42">
        <v>34.3330078125</v>
      </c>
      <c r="AB104" s="42">
        <v>88.29364013671875</v>
      </c>
      <c r="AC104" s="42">
        <v>129.00090026855469</v>
      </c>
      <c r="AD104" s="42">
        <v>68.543708801269531</v>
      </c>
      <c r="AE104" s="42">
        <v>37.028926849365227</v>
      </c>
      <c r="AF104" s="42">
        <v>90.93817138671875</v>
      </c>
      <c r="AG104" s="42">
        <v>51.136192321777337</v>
      </c>
      <c r="AH104" s="42">
        <v>33.965366363525391</v>
      </c>
      <c r="AI104" s="42">
        <v>63.358779907226562</v>
      </c>
      <c r="AJ104" s="42">
        <v>5.8570022583007812</v>
      </c>
      <c r="AK104" s="42">
        <v>25.45999908447266</v>
      </c>
      <c r="AL104" s="42">
        <v>41.718296051025391</v>
      </c>
      <c r="AM104" s="42">
        <v>62.827789306640618</v>
      </c>
      <c r="AN104" s="42">
        <v>138.27130126953119</v>
      </c>
      <c r="AO104" s="42">
        <v>7.9800000190734863</v>
      </c>
      <c r="AP104" s="42">
        <v>52.601161956787109</v>
      </c>
      <c r="AQ104" s="42">
        <v>46.311965942382812</v>
      </c>
      <c r="AR104" s="42">
        <v>45.733974456787109</v>
      </c>
      <c r="AS104" s="42">
        <v>341.76486206054688</v>
      </c>
      <c r="AT104" s="42">
        <v>126.1974639892578</v>
      </c>
      <c r="AU104" s="42">
        <v>42.585258483886719</v>
      </c>
      <c r="AV104" s="42">
        <v>87.640266418457031</v>
      </c>
      <c r="AW104" s="42">
        <v>214.44618225097659</v>
      </c>
      <c r="AX104" s="42">
        <v>118.2578887939453</v>
      </c>
      <c r="AY104" s="42">
        <v>25.26743316650391</v>
      </c>
      <c r="AZ104" s="42">
        <v>2718.3701171875</v>
      </c>
    </row>
    <row r="105" spans="1:52" ht="16" x14ac:dyDescent="0.2">
      <c r="A105" s="39">
        <v>43282</v>
      </c>
      <c r="B105" s="40">
        <v>44.796665191650391</v>
      </c>
      <c r="C105" s="40">
        <v>56.697689056396477</v>
      </c>
      <c r="D105" s="40">
        <v>244.67999267578119</v>
      </c>
      <c r="E105" s="40">
        <v>66.150001525878906</v>
      </c>
      <c r="F105" s="40">
        <v>153.27899169921881</v>
      </c>
      <c r="G105" s="40">
        <v>88.872001647949219</v>
      </c>
      <c r="H105" s="40">
        <v>121.9088592529297</v>
      </c>
      <c r="I105" s="40">
        <v>26.796026229858398</v>
      </c>
      <c r="J105" s="40">
        <v>196.188232421875</v>
      </c>
      <c r="K105" s="40">
        <v>33.5888671875</v>
      </c>
      <c r="L105" s="40">
        <v>88.603034973144531</v>
      </c>
      <c r="M105" s="40">
        <v>107.93699645996089</v>
      </c>
      <c r="N105" s="40">
        <v>129.25236511230469</v>
      </c>
      <c r="O105" s="40">
        <v>59.816246032714837</v>
      </c>
      <c r="P105" s="40">
        <v>94.611854553222656</v>
      </c>
      <c r="Q105" s="40">
        <v>20.70000076293945</v>
      </c>
      <c r="R105" s="40">
        <v>171.3800048828125</v>
      </c>
      <c r="S105" s="40">
        <v>166.61103820800781</v>
      </c>
      <c r="T105" s="40">
        <v>62.424762725830078</v>
      </c>
      <c r="U105" s="40">
        <v>60.782611846923828</v>
      </c>
      <c r="V105" s="40">
        <v>197.3550720214844</v>
      </c>
      <c r="W105" s="40">
        <v>160.98323059082031</v>
      </c>
      <c r="X105" s="40">
        <v>66.540000915527344</v>
      </c>
      <c r="Y105" s="40">
        <v>105.75526428222661</v>
      </c>
      <c r="Z105" s="40">
        <v>92.499809265136719</v>
      </c>
      <c r="AA105" s="40">
        <v>36.501319885253913</v>
      </c>
      <c r="AB105" s="40">
        <v>85.699180603027344</v>
      </c>
      <c r="AC105" s="40">
        <v>129.70066833496091</v>
      </c>
      <c r="AD105" s="40">
        <v>72.665283203125</v>
      </c>
      <c r="AE105" s="40">
        <v>39.730995178222663</v>
      </c>
      <c r="AF105" s="40">
        <v>97.826988220214844</v>
      </c>
      <c r="AG105" s="40">
        <v>51.477500915527337</v>
      </c>
      <c r="AH105" s="40">
        <v>34.069072723388672</v>
      </c>
      <c r="AI105" s="40">
        <v>62.869251251220703</v>
      </c>
      <c r="AJ105" s="40">
        <v>6.0538015365600586</v>
      </c>
      <c r="AK105" s="40">
        <v>27.360000610351559</v>
      </c>
      <c r="AL105" s="40">
        <v>42.082733154296882</v>
      </c>
      <c r="AM105" s="40">
        <v>65.688316345214844</v>
      </c>
      <c r="AN105" s="40">
        <v>149.98248291015619</v>
      </c>
      <c r="AO105" s="40">
        <v>9</v>
      </c>
      <c r="AP105" s="40">
        <v>52.545101165771477</v>
      </c>
      <c r="AQ105" s="40">
        <v>48.551277160644531</v>
      </c>
      <c r="AR105" s="40">
        <v>52.228992462158203</v>
      </c>
      <c r="AS105" s="40">
        <v>364.56964111328119</v>
      </c>
      <c r="AT105" s="40">
        <v>136.46488952636719</v>
      </c>
      <c r="AU105" s="40">
        <v>43.515895843505859</v>
      </c>
      <c r="AV105" s="40">
        <v>88.98077392578125</v>
      </c>
      <c r="AW105" s="40">
        <v>221.33392333984381</v>
      </c>
      <c r="AX105" s="40">
        <v>125.11065673828119</v>
      </c>
      <c r="AY105" s="40">
        <v>26.32356071472168</v>
      </c>
      <c r="AZ105" s="40">
        <v>2816.2900390625</v>
      </c>
    </row>
    <row r="106" spans="1:52" ht="16" x14ac:dyDescent="0.2">
      <c r="A106" s="41">
        <v>43313</v>
      </c>
      <c r="B106" s="42">
        <v>53.774913787841797</v>
      </c>
      <c r="C106" s="42">
        <v>57.822288513183587</v>
      </c>
      <c r="D106" s="42">
        <v>263.510009765625</v>
      </c>
      <c r="E106" s="42">
        <v>64.900001525878906</v>
      </c>
      <c r="F106" s="42">
        <v>156.88185119628909</v>
      </c>
      <c r="G106" s="42">
        <v>100.635498046875</v>
      </c>
      <c r="H106" s="42">
        <v>117.71241760253911</v>
      </c>
      <c r="I106" s="42">
        <v>27.702201843261719</v>
      </c>
      <c r="J106" s="42">
        <v>209.64241027832031</v>
      </c>
      <c r="K106" s="42">
        <v>37.941375732421882</v>
      </c>
      <c r="L106" s="42">
        <v>83.919715881347656</v>
      </c>
      <c r="M106" s="42">
        <v>106.4732360839844</v>
      </c>
      <c r="N106" s="42">
        <v>138.2366027832031</v>
      </c>
      <c r="O106" s="42">
        <v>63.920341491699219</v>
      </c>
      <c r="P106" s="42">
        <v>86.753204345703125</v>
      </c>
      <c r="Q106" s="42">
        <v>18.79000091552734</v>
      </c>
      <c r="R106" s="42">
        <v>189.1199951171875</v>
      </c>
      <c r="S106" s="42">
        <v>161.3064270019531</v>
      </c>
      <c r="T106" s="42">
        <v>59.264595031738281</v>
      </c>
      <c r="U106" s="42">
        <v>61.009456634521477</v>
      </c>
      <c r="V106" s="42">
        <v>198.3255920410156</v>
      </c>
      <c r="W106" s="42">
        <v>164.47080993652341</v>
      </c>
      <c r="X106" s="42">
        <v>73.910003662109375</v>
      </c>
      <c r="Y106" s="42">
        <v>108.2033157348633</v>
      </c>
      <c r="Z106" s="42">
        <v>92.202079772949219</v>
      </c>
      <c r="AA106" s="42">
        <v>34.888778686523438</v>
      </c>
      <c r="AB106" s="42">
        <v>87.484657287597656</v>
      </c>
      <c r="AC106" s="42">
        <v>134.39569091796881</v>
      </c>
      <c r="AD106" s="42">
        <v>77.642227172851562</v>
      </c>
      <c r="AE106" s="42">
        <v>38.37152099609375</v>
      </c>
      <c r="AF106" s="42">
        <v>103.98940277099609</v>
      </c>
      <c r="AG106" s="42">
        <v>51.214202880859382</v>
      </c>
      <c r="AH106" s="42">
        <v>34.816230773925781</v>
      </c>
      <c r="AI106" s="42">
        <v>70.403526306152344</v>
      </c>
      <c r="AJ106" s="42">
        <v>6.9431939125061044</v>
      </c>
      <c r="AK106" s="42">
        <v>28.270000457763668</v>
      </c>
      <c r="AL106" s="42">
        <v>39.856407165527337</v>
      </c>
      <c r="AM106" s="42">
        <v>67.369499206542969</v>
      </c>
      <c r="AN106" s="42">
        <v>156.48698425292969</v>
      </c>
      <c r="AO106" s="42">
        <v>10.69999980926514</v>
      </c>
      <c r="AP106" s="42">
        <v>53.794273376464837</v>
      </c>
      <c r="AQ106" s="42">
        <v>51.012062072753913</v>
      </c>
      <c r="AR106" s="42">
        <v>55.993972778320312</v>
      </c>
      <c r="AS106" s="42">
        <v>402.94747924804688</v>
      </c>
      <c r="AT106" s="42">
        <v>141.3401184082031</v>
      </c>
      <c r="AU106" s="42">
        <v>49.393299102783203</v>
      </c>
      <c r="AV106" s="42">
        <v>89.844032287597656</v>
      </c>
      <c r="AW106" s="42">
        <v>234.65480041503909</v>
      </c>
      <c r="AX106" s="42">
        <v>126.39036560058589</v>
      </c>
      <c r="AY106" s="42">
        <v>28.443706512451168</v>
      </c>
      <c r="AZ106" s="42">
        <v>2901.52001953125</v>
      </c>
    </row>
    <row r="107" spans="1:52" ht="16" x14ac:dyDescent="0.2">
      <c r="A107" s="39">
        <v>43344</v>
      </c>
      <c r="B107" s="40">
        <v>53.328414916992188</v>
      </c>
      <c r="C107" s="40">
        <v>63.462654113769531</v>
      </c>
      <c r="D107" s="40">
        <v>269.95001220703119</v>
      </c>
      <c r="E107" s="40">
        <v>70.150001525878906</v>
      </c>
      <c r="F107" s="40">
        <v>162.75480651855469</v>
      </c>
      <c r="G107" s="40">
        <v>100.15000152587891</v>
      </c>
      <c r="H107" s="40">
        <v>129.2759094238281</v>
      </c>
      <c r="I107" s="40">
        <v>26.518924713134769</v>
      </c>
      <c r="J107" s="40">
        <v>211.216064453125</v>
      </c>
      <c r="K107" s="40">
        <v>38.640308380126953</v>
      </c>
      <c r="L107" s="40">
        <v>86.62591552734375</v>
      </c>
      <c r="M107" s="40">
        <v>111.1496276855469</v>
      </c>
      <c r="N107" s="40">
        <v>144.4008483886719</v>
      </c>
      <c r="O107" s="40">
        <v>63.795372009277337</v>
      </c>
      <c r="P107" s="40">
        <v>93.6065673828125</v>
      </c>
      <c r="Q107" s="40">
        <v>17.719999313354489</v>
      </c>
      <c r="R107" s="40">
        <v>199.41999816894531</v>
      </c>
      <c r="S107" s="40">
        <v>170.7479553222656</v>
      </c>
      <c r="T107" s="40">
        <v>52.200523376464837</v>
      </c>
      <c r="U107" s="40">
        <v>59.785102844238281</v>
      </c>
      <c r="V107" s="40">
        <v>187.00862121582031</v>
      </c>
      <c r="W107" s="40">
        <v>169.69731140136719</v>
      </c>
      <c r="X107" s="40">
        <v>69.080001831054688</v>
      </c>
      <c r="Y107" s="40">
        <v>110.9989395141602</v>
      </c>
      <c r="Z107" s="40">
        <v>90.801887512207031</v>
      </c>
      <c r="AA107" s="40">
        <v>36.464447021484382</v>
      </c>
      <c r="AB107" s="40">
        <v>91.567977905273438</v>
      </c>
      <c r="AC107" s="40">
        <v>138.58750915527341</v>
      </c>
      <c r="AD107" s="40">
        <v>79.220726013183594</v>
      </c>
      <c r="AE107" s="40">
        <v>36.595588684082031</v>
      </c>
      <c r="AF107" s="40">
        <v>105.8779296875</v>
      </c>
      <c r="AG107" s="40">
        <v>44.105445861816413</v>
      </c>
      <c r="AH107" s="40">
        <v>34.304523468017578</v>
      </c>
      <c r="AI107" s="40">
        <v>69.657394409179688</v>
      </c>
      <c r="AJ107" s="40">
        <v>6.9516043663024902</v>
      </c>
      <c r="AK107" s="40">
        <v>27.60000038146973</v>
      </c>
      <c r="AL107" s="40">
        <v>40.993247985839837</v>
      </c>
      <c r="AM107" s="40">
        <v>67.596916198730469</v>
      </c>
      <c r="AN107" s="40">
        <v>163.91032409667969</v>
      </c>
      <c r="AO107" s="40">
        <v>9.8500003814697266</v>
      </c>
      <c r="AP107" s="40">
        <v>54.670989990234382</v>
      </c>
      <c r="AQ107" s="40">
        <v>45.622943878173828</v>
      </c>
      <c r="AR107" s="40">
        <v>59.234031677246087</v>
      </c>
      <c r="AS107" s="40">
        <v>400.2628173828125</v>
      </c>
      <c r="AT107" s="40">
        <v>141.22529602050781</v>
      </c>
      <c r="AU107" s="40">
        <v>50.314052581787109</v>
      </c>
      <c r="AV107" s="40">
        <v>85.759468078613281</v>
      </c>
      <c r="AW107" s="40">
        <v>233.32417297363281</v>
      </c>
      <c r="AX107" s="40">
        <v>136.6361999511719</v>
      </c>
      <c r="AY107" s="40">
        <v>27.865106582641602</v>
      </c>
      <c r="AZ107" s="40">
        <v>2913.97998046875</v>
      </c>
    </row>
    <row r="108" spans="1:52" ht="16" x14ac:dyDescent="0.2">
      <c r="A108" s="41">
        <v>43374</v>
      </c>
      <c r="B108" s="42">
        <v>51.703102111816413</v>
      </c>
      <c r="C108" s="42">
        <v>59.884193420410163</v>
      </c>
      <c r="D108" s="42">
        <v>245.75999450683591</v>
      </c>
      <c r="E108" s="42">
        <v>65.5</v>
      </c>
      <c r="F108" s="42">
        <v>151.37005615234381</v>
      </c>
      <c r="G108" s="42">
        <v>79.900497436523438</v>
      </c>
      <c r="H108" s="42">
        <v>103.5065460205078</v>
      </c>
      <c r="I108" s="42">
        <v>28.717058181762699</v>
      </c>
      <c r="J108" s="42">
        <v>205.59580993652341</v>
      </c>
      <c r="K108" s="42">
        <v>36.582645416259773</v>
      </c>
      <c r="L108" s="42">
        <v>79.095382690429688</v>
      </c>
      <c r="M108" s="42">
        <v>109.1441268920898</v>
      </c>
      <c r="N108" s="42">
        <v>141.0574035644531</v>
      </c>
      <c r="O108" s="42">
        <v>56.547805786132812</v>
      </c>
      <c r="P108" s="42">
        <v>77.433952331542969</v>
      </c>
      <c r="Q108" s="42">
        <v>13.86999988555908</v>
      </c>
      <c r="R108" s="42">
        <v>175.2799987792969</v>
      </c>
      <c r="S108" s="42">
        <v>144.59503173828119</v>
      </c>
      <c r="T108" s="42">
        <v>46.698429107666023</v>
      </c>
      <c r="U108" s="42">
        <v>54.015010833740227</v>
      </c>
      <c r="V108" s="42">
        <v>187.95097351074219</v>
      </c>
      <c r="W108" s="42">
        <v>144.08091735839841</v>
      </c>
      <c r="X108" s="42">
        <v>64.819999694824219</v>
      </c>
      <c r="Y108" s="42">
        <v>112.4611129760742</v>
      </c>
      <c r="Z108" s="42">
        <v>88.342308044433594</v>
      </c>
      <c r="AA108" s="42">
        <v>37.798614501953118</v>
      </c>
      <c r="AB108" s="42">
        <v>87.34765625</v>
      </c>
      <c r="AC108" s="42">
        <v>146.5486755371094</v>
      </c>
      <c r="AD108" s="42">
        <v>72.3350830078125</v>
      </c>
      <c r="AE108" s="42">
        <v>36.127079010009773</v>
      </c>
      <c r="AF108" s="42">
        <v>98.879249572753906</v>
      </c>
      <c r="AG108" s="42">
        <v>36.782176971435547</v>
      </c>
      <c r="AH108" s="42">
        <v>35.307472229003913</v>
      </c>
      <c r="AI108" s="42">
        <v>63.954204559326172</v>
      </c>
      <c r="AJ108" s="42">
        <v>5.2153115272521973</v>
      </c>
      <c r="AK108" s="42">
        <v>18.940000534057621</v>
      </c>
      <c r="AL108" s="42">
        <v>39.668937683105469</v>
      </c>
      <c r="AM108" s="42">
        <v>72.659645080566406</v>
      </c>
      <c r="AN108" s="42">
        <v>135.12599182128909</v>
      </c>
      <c r="AO108" s="42">
        <v>9.7399997711181641</v>
      </c>
      <c r="AP108" s="42">
        <v>51.993492126464837</v>
      </c>
      <c r="AQ108" s="42">
        <v>41.774272918701172</v>
      </c>
      <c r="AR108" s="42">
        <v>51.717739105224609</v>
      </c>
      <c r="AS108" s="42">
        <v>336.068603515625</v>
      </c>
      <c r="AT108" s="42">
        <v>122.0709533691406</v>
      </c>
      <c r="AU108" s="42">
        <v>49.352878570556641</v>
      </c>
      <c r="AV108" s="42">
        <v>74.840301513671875</v>
      </c>
      <c r="AW108" s="42">
        <v>229.21092224121091</v>
      </c>
      <c r="AX108" s="42">
        <v>122.6982345581055</v>
      </c>
      <c r="AY108" s="42">
        <v>29.755220413208011</v>
      </c>
      <c r="AZ108" s="42">
        <v>2711.739990234375</v>
      </c>
    </row>
    <row r="109" spans="1:52" ht="16" x14ac:dyDescent="0.2">
      <c r="A109" s="39">
        <v>43405</v>
      </c>
      <c r="B109" s="40">
        <v>42.334636688232422</v>
      </c>
      <c r="C109" s="40">
        <v>64.322967529296875</v>
      </c>
      <c r="D109" s="40">
        <v>250.88999938964841</v>
      </c>
      <c r="E109" s="40">
        <v>74.220001220703125</v>
      </c>
      <c r="F109" s="40">
        <v>164.6502990722656</v>
      </c>
      <c r="G109" s="40">
        <v>84.508499145507812</v>
      </c>
      <c r="H109" s="40">
        <v>115.74953460693359</v>
      </c>
      <c r="I109" s="40">
        <v>29.372123718261719</v>
      </c>
      <c r="J109" s="40">
        <v>208.47320556640619</v>
      </c>
      <c r="K109" s="40">
        <v>38.277851104736328</v>
      </c>
      <c r="L109" s="40">
        <v>85.083236694335938</v>
      </c>
      <c r="M109" s="40">
        <v>109.7714309692383</v>
      </c>
      <c r="N109" s="40">
        <v>147.81791687011719</v>
      </c>
      <c r="O109" s="40">
        <v>56.659812927246087</v>
      </c>
      <c r="P109" s="40">
        <v>75.941719055175781</v>
      </c>
      <c r="Q109" s="40">
        <v>20.309999465942379</v>
      </c>
      <c r="R109" s="40">
        <v>171.9700012207031</v>
      </c>
      <c r="S109" s="40">
        <v>154.90888977050781</v>
      </c>
      <c r="T109" s="40">
        <v>34.677047729492188</v>
      </c>
      <c r="U109" s="40">
        <v>54.959522247314453</v>
      </c>
      <c r="V109" s="40">
        <v>159.67303466796881</v>
      </c>
      <c r="W109" s="40">
        <v>148.601806640625</v>
      </c>
      <c r="X109" s="40">
        <v>64.25</v>
      </c>
      <c r="Y109" s="40">
        <v>118.7637481689453</v>
      </c>
      <c r="Z109" s="40">
        <v>90.100723266601562</v>
      </c>
      <c r="AA109" s="40">
        <v>40.102634429931641</v>
      </c>
      <c r="AB109" s="40">
        <v>92.705085754394531</v>
      </c>
      <c r="AC109" s="40">
        <v>157.12977600097659</v>
      </c>
      <c r="AD109" s="40">
        <v>78.544204711914062</v>
      </c>
      <c r="AE109" s="40">
        <v>35.122245788574219</v>
      </c>
      <c r="AF109" s="40">
        <v>103.0997848510742</v>
      </c>
      <c r="AG109" s="40">
        <v>37.601295471191413</v>
      </c>
      <c r="AH109" s="40">
        <v>37.425914764404297</v>
      </c>
      <c r="AI109" s="40">
        <v>54.486156463623047</v>
      </c>
      <c r="AJ109" s="40">
        <v>4.0468215942382812</v>
      </c>
      <c r="AK109" s="40">
        <v>16.79000091552734</v>
      </c>
      <c r="AL109" s="40">
        <v>37.643913269042969</v>
      </c>
      <c r="AM109" s="40">
        <v>77.436447143554688</v>
      </c>
      <c r="AN109" s="40">
        <v>153.99884033203119</v>
      </c>
      <c r="AO109" s="40">
        <v>9.6999998092651367</v>
      </c>
      <c r="AP109" s="40">
        <v>54.308055877685547</v>
      </c>
      <c r="AQ109" s="40">
        <v>40.23382568359375</v>
      </c>
      <c r="AR109" s="40">
        <v>47.910251617431641</v>
      </c>
      <c r="AS109" s="40">
        <v>362.23171997070312</v>
      </c>
      <c r="AT109" s="40">
        <v>131.83763122558591</v>
      </c>
      <c r="AU109" s="40">
        <v>44.041976928710938</v>
      </c>
      <c r="AV109" s="40">
        <v>80.499855041503906</v>
      </c>
      <c r="AW109" s="40">
        <v>247.54864501953119</v>
      </c>
      <c r="AX109" s="40">
        <v>129.72491455078119</v>
      </c>
      <c r="AY109" s="40">
        <v>28.9748420715332</v>
      </c>
      <c r="AZ109" s="40">
        <v>2760.169921875</v>
      </c>
    </row>
    <row r="110" spans="1:52" ht="16" x14ac:dyDescent="0.2">
      <c r="A110" s="41">
        <v>43435</v>
      </c>
      <c r="B110" s="42">
        <v>37.394245147705078</v>
      </c>
      <c r="C110" s="42">
        <v>62.828868865966797</v>
      </c>
      <c r="D110" s="42">
        <v>226.24000549316409</v>
      </c>
      <c r="E110" s="42">
        <v>67.879997253417969</v>
      </c>
      <c r="F110" s="42">
        <v>153.9134521484375</v>
      </c>
      <c r="G110" s="42">
        <v>75.098503112792969</v>
      </c>
      <c r="H110" s="42">
        <v>108.4122619628906</v>
      </c>
      <c r="I110" s="42">
        <v>25.7801399230957</v>
      </c>
      <c r="J110" s="42">
        <v>183.6218566894531</v>
      </c>
      <c r="K110" s="42">
        <v>34.647567749023438</v>
      </c>
      <c r="L110" s="42">
        <v>77.822494506835938</v>
      </c>
      <c r="M110" s="42">
        <v>105.0290222167969</v>
      </c>
      <c r="N110" s="42">
        <v>136.12080383300781</v>
      </c>
      <c r="O110" s="42">
        <v>50.13958740234375</v>
      </c>
      <c r="P110" s="42">
        <v>64.106826782226562</v>
      </c>
      <c r="Q110" s="42">
        <v>19.670000076293949</v>
      </c>
      <c r="R110" s="42">
        <v>162.0299987792969</v>
      </c>
      <c r="S110" s="42">
        <v>131.71739196777341</v>
      </c>
      <c r="T110" s="42">
        <v>35.048839569091797</v>
      </c>
      <c r="U110" s="42">
        <v>51.755512237548828</v>
      </c>
      <c r="V110" s="42">
        <v>139.87823486328119</v>
      </c>
      <c r="W110" s="42">
        <v>141.59693908691409</v>
      </c>
      <c r="X110" s="42">
        <v>63.590000152587891</v>
      </c>
      <c r="Y110" s="42">
        <v>104.3326034545898</v>
      </c>
      <c r="Z110" s="42">
        <v>79.104515075683594</v>
      </c>
      <c r="AA110" s="42">
        <v>37.675792694091797</v>
      </c>
      <c r="AB110" s="42">
        <v>88.205429077148438</v>
      </c>
      <c r="AC110" s="42">
        <v>148.01092529296881</v>
      </c>
      <c r="AD110" s="42">
        <v>73.668609619140625</v>
      </c>
      <c r="AE110" s="42">
        <v>31.371852874755859</v>
      </c>
      <c r="AF110" s="42">
        <v>94.434555053710938</v>
      </c>
      <c r="AG110" s="42">
        <v>30.94110107421875</v>
      </c>
      <c r="AH110" s="42">
        <v>35.80084228515625</v>
      </c>
      <c r="AI110" s="42">
        <v>48.619529724121087</v>
      </c>
      <c r="AJ110" s="42">
        <v>3.3056998252868648</v>
      </c>
      <c r="AK110" s="42">
        <v>12.10000038146973</v>
      </c>
      <c r="AL110" s="42">
        <v>33.060218811035163</v>
      </c>
      <c r="AM110" s="42">
        <v>75.314338684082031</v>
      </c>
      <c r="AN110" s="42">
        <v>133.500244140625</v>
      </c>
      <c r="AO110" s="42">
        <v>9.6800003051757812</v>
      </c>
      <c r="AP110" s="42">
        <v>47.7095947265625</v>
      </c>
      <c r="AQ110" s="42">
        <v>35.026805877685547</v>
      </c>
      <c r="AR110" s="42">
        <v>47.308135986328118</v>
      </c>
      <c r="AS110" s="42">
        <v>370.00836181640619</v>
      </c>
      <c r="AT110" s="42">
        <v>122.32139587402339</v>
      </c>
      <c r="AU110" s="42">
        <v>40.336498260498047</v>
      </c>
      <c r="AV110" s="42">
        <v>76.186653137207031</v>
      </c>
      <c r="AW110" s="42">
        <v>219.18304443359381</v>
      </c>
      <c r="AX110" s="42">
        <v>116.6073303222656</v>
      </c>
      <c r="AY110" s="42">
        <v>27.790426254272461</v>
      </c>
      <c r="AZ110" s="42">
        <v>2506.85009765625</v>
      </c>
    </row>
    <row r="111" spans="1:52" ht="16" x14ac:dyDescent="0.2">
      <c r="A111" s="39">
        <v>43466</v>
      </c>
      <c r="B111" s="40">
        <v>39.456691741943359</v>
      </c>
      <c r="C111" s="40">
        <v>63.687461853027337</v>
      </c>
      <c r="D111" s="40">
        <v>247.82000732421881</v>
      </c>
      <c r="E111" s="40">
        <v>60.150001525878913</v>
      </c>
      <c r="F111" s="40">
        <v>147.93623352050781</v>
      </c>
      <c r="G111" s="40">
        <v>85.936500549316406</v>
      </c>
      <c r="H111" s="40">
        <v>114.33892822265619</v>
      </c>
      <c r="I111" s="40">
        <v>27.688091278076168</v>
      </c>
      <c r="J111" s="40">
        <v>193.4649963378906</v>
      </c>
      <c r="K111" s="40">
        <v>38.106853485107422</v>
      </c>
      <c r="L111" s="40">
        <v>82.014411926269531</v>
      </c>
      <c r="M111" s="40">
        <v>106.82021331787109</v>
      </c>
      <c r="N111" s="40">
        <v>146.11619567871091</v>
      </c>
      <c r="O111" s="40">
        <v>54.939559936523438</v>
      </c>
      <c r="P111" s="40">
        <v>73.083595275878906</v>
      </c>
      <c r="Q111" s="40">
        <v>23.569999694824219</v>
      </c>
      <c r="R111" s="40">
        <v>160.94999694824219</v>
      </c>
      <c r="S111" s="40">
        <v>144.23359680175781</v>
      </c>
      <c r="T111" s="40">
        <v>47.040462493896477</v>
      </c>
      <c r="U111" s="40">
        <v>55.763862609863281</v>
      </c>
      <c r="V111" s="40">
        <v>165.80238342285159</v>
      </c>
      <c r="W111" s="40">
        <v>151.24713134765619</v>
      </c>
      <c r="X111" s="40">
        <v>80.589996337890625</v>
      </c>
      <c r="Y111" s="40">
        <v>107.59072113037109</v>
      </c>
      <c r="Z111" s="40">
        <v>84.550361633300781</v>
      </c>
      <c r="AA111" s="40">
        <v>38.296417236328118</v>
      </c>
      <c r="AB111" s="40">
        <v>78.702171325683594</v>
      </c>
      <c r="AC111" s="40">
        <v>149.01951599121091</v>
      </c>
      <c r="AD111" s="40">
        <v>71.587165832519531</v>
      </c>
      <c r="AE111" s="40">
        <v>33.706573486328118</v>
      </c>
      <c r="AF111" s="40">
        <v>97.0936279296875</v>
      </c>
      <c r="AG111" s="40">
        <v>37.269748687744141</v>
      </c>
      <c r="AH111" s="40">
        <v>36.863613128662109</v>
      </c>
      <c r="AI111" s="40">
        <v>52.306987762451172</v>
      </c>
      <c r="AJ111" s="40">
        <v>3.5595078468322749</v>
      </c>
      <c r="AK111" s="40">
        <v>15.689999580383301</v>
      </c>
      <c r="AL111" s="40">
        <v>39.895126342773438</v>
      </c>
      <c r="AM111" s="40">
        <v>79.667526245117188</v>
      </c>
      <c r="AN111" s="40">
        <v>147.52702331542969</v>
      </c>
      <c r="AO111" s="40">
        <v>10.689999580383301</v>
      </c>
      <c r="AP111" s="40">
        <v>56.192024230957031</v>
      </c>
      <c r="AQ111" s="40">
        <v>38.988666534423828</v>
      </c>
      <c r="AR111" s="40">
        <v>41.164985656738281</v>
      </c>
      <c r="AS111" s="40">
        <v>425.25698852539062</v>
      </c>
      <c r="AT111" s="40">
        <v>131.04486083984381</v>
      </c>
      <c r="AU111" s="40">
        <v>44.835365295410163</v>
      </c>
      <c r="AV111" s="40">
        <v>81.790435791015625</v>
      </c>
      <c r="AW111" s="40">
        <v>237.72984313964841</v>
      </c>
      <c r="AX111" s="40">
        <v>134.18745422363281</v>
      </c>
      <c r="AY111" s="40">
        <v>28.589975357055661</v>
      </c>
      <c r="AZ111" s="40">
        <v>2704.10009765625</v>
      </c>
    </row>
    <row r="112" spans="1:52" ht="16" x14ac:dyDescent="0.2">
      <c r="A112" s="41">
        <v>43497</v>
      </c>
      <c r="B112" s="42">
        <v>41.223419189453118</v>
      </c>
      <c r="C112" s="42">
        <v>67.73663330078125</v>
      </c>
      <c r="D112" s="42">
        <v>262.5</v>
      </c>
      <c r="E112" s="42">
        <v>67.209999084472656</v>
      </c>
      <c r="F112" s="42">
        <v>151.44639587402341</v>
      </c>
      <c r="G112" s="42">
        <v>81.991500854492188</v>
      </c>
      <c r="H112" s="42">
        <v>117.928108215332</v>
      </c>
      <c r="I112" s="42">
        <v>29.278066635131839</v>
      </c>
      <c r="J112" s="42">
        <v>197.70233154296881</v>
      </c>
      <c r="K112" s="42">
        <v>41.716896057128913</v>
      </c>
      <c r="L112" s="42">
        <v>86.400962829589844</v>
      </c>
      <c r="M112" s="42">
        <v>108.08457946777339</v>
      </c>
      <c r="N112" s="42">
        <v>156.0377502441406</v>
      </c>
      <c r="O112" s="42">
        <v>57.601070404052727</v>
      </c>
      <c r="P112" s="42">
        <v>69.252609252929688</v>
      </c>
      <c r="Q112" s="42">
        <v>22.389999389648441</v>
      </c>
      <c r="R112" s="42">
        <v>168.13999938964841</v>
      </c>
      <c r="S112" s="42">
        <v>143.43310546875</v>
      </c>
      <c r="T112" s="42">
        <v>50.029571533203118</v>
      </c>
      <c r="U112" s="42">
        <v>55.796554565429688</v>
      </c>
      <c r="V112" s="42">
        <v>165.3705749511719</v>
      </c>
      <c r="W112" s="42">
        <v>152.57392883300781</v>
      </c>
      <c r="X112" s="42">
        <v>86.230003356933594</v>
      </c>
      <c r="Y112" s="42">
        <v>111.2015075683594</v>
      </c>
      <c r="Z112" s="42">
        <v>85.252914428710938</v>
      </c>
      <c r="AA112" s="42">
        <v>36.076473236083977</v>
      </c>
      <c r="AB112" s="42">
        <v>85.038993835449219</v>
      </c>
      <c r="AC112" s="42">
        <v>154.21278381347659</v>
      </c>
      <c r="AD112" s="42">
        <v>73.296089172363281</v>
      </c>
      <c r="AE112" s="42">
        <v>33.451580047607422</v>
      </c>
      <c r="AF112" s="42">
        <v>104.6045303344727</v>
      </c>
      <c r="AG112" s="42">
        <v>39.863609313964837</v>
      </c>
      <c r="AH112" s="42">
        <v>38.922233581542969</v>
      </c>
      <c r="AI112" s="42">
        <v>53.479942321777337</v>
      </c>
      <c r="AJ112" s="42">
        <v>3.823691844940186</v>
      </c>
      <c r="AK112" s="42">
        <v>15.44999980926514</v>
      </c>
      <c r="AL112" s="42">
        <v>39.926189422607422</v>
      </c>
      <c r="AM112" s="42">
        <v>81.385231018066406</v>
      </c>
      <c r="AN112" s="42">
        <v>158.4120788574219</v>
      </c>
      <c r="AO112" s="42">
        <v>9.8100004196166992</v>
      </c>
      <c r="AP112" s="42">
        <v>56.923263549804688</v>
      </c>
      <c r="AQ112" s="42">
        <v>44.018512725830078</v>
      </c>
      <c r="AR112" s="42">
        <v>44.382041931152337</v>
      </c>
      <c r="AS112" s="42">
        <v>426.71319580078119</v>
      </c>
      <c r="AT112" s="42">
        <v>135.02305603027341</v>
      </c>
      <c r="AU112" s="42">
        <v>46.423789978027337</v>
      </c>
      <c r="AV112" s="42">
        <v>85.933555603027344</v>
      </c>
      <c r="AW112" s="42">
        <v>213.11224365234381</v>
      </c>
      <c r="AX112" s="42">
        <v>142.20295715332031</v>
      </c>
      <c r="AY112" s="42">
        <v>29.532735824584961</v>
      </c>
      <c r="AZ112" s="42">
        <v>2784.489990234375</v>
      </c>
    </row>
    <row r="113" spans="1:52" ht="16" x14ac:dyDescent="0.2">
      <c r="A113" s="39">
        <v>43525</v>
      </c>
      <c r="B113" s="40">
        <v>45.223159790039062</v>
      </c>
      <c r="C113" s="40">
        <v>69.761253356933594</v>
      </c>
      <c r="D113" s="40">
        <v>266.489990234375</v>
      </c>
      <c r="E113" s="40">
        <v>63.590000152587891</v>
      </c>
      <c r="F113" s="40">
        <v>151.3667297363281</v>
      </c>
      <c r="G113" s="40">
        <v>89.037498474121094</v>
      </c>
      <c r="H113" s="40">
        <v>116.33962249755859</v>
      </c>
      <c r="I113" s="40">
        <v>30.2699089050293</v>
      </c>
      <c r="J113" s="40">
        <v>218.85176086425781</v>
      </c>
      <c r="K113" s="40">
        <v>43.505802154541023</v>
      </c>
      <c r="L113" s="40">
        <v>89.002098083496094</v>
      </c>
      <c r="M113" s="40">
        <v>106.35085296630859</v>
      </c>
      <c r="N113" s="40">
        <v>163.5173645019531</v>
      </c>
      <c r="O113" s="40">
        <v>57.871540069580078</v>
      </c>
      <c r="P113" s="40">
        <v>70.121940612792969</v>
      </c>
      <c r="Q113" s="40">
        <v>23.79999923706055</v>
      </c>
      <c r="R113" s="40">
        <v>156.92999267578119</v>
      </c>
      <c r="S113" s="40">
        <v>142.64100646972659</v>
      </c>
      <c r="T113" s="40">
        <v>48.154457092285163</v>
      </c>
      <c r="U113" s="40">
        <v>58.289833068847663</v>
      </c>
      <c r="V113" s="40">
        <v>161.41078186035159</v>
      </c>
      <c r="W113" s="40">
        <v>159.31414794921881</v>
      </c>
      <c r="X113" s="40">
        <v>86.010002136230469</v>
      </c>
      <c r="Y113" s="40">
        <v>113.7650833129883</v>
      </c>
      <c r="Z113" s="40">
        <v>82.695999145507812</v>
      </c>
      <c r="AA113" s="40">
        <v>37.61138916015625</v>
      </c>
      <c r="AB113" s="40">
        <v>89.011833190917969</v>
      </c>
      <c r="AC113" s="40">
        <v>159.2961730957031</v>
      </c>
      <c r="AD113" s="40">
        <v>74.170143127441406</v>
      </c>
      <c r="AE113" s="40">
        <v>33.62689208984375</v>
      </c>
      <c r="AF113" s="40">
        <v>110.12282562255859</v>
      </c>
      <c r="AG113" s="40">
        <v>40.302421569824219</v>
      </c>
      <c r="AH113" s="40">
        <v>40.083339691162109</v>
      </c>
      <c r="AI113" s="40">
        <v>56.875743865966797</v>
      </c>
      <c r="AJ113" s="40">
        <v>4.4508099555969238</v>
      </c>
      <c r="AK113" s="40">
        <v>15.77000045776367</v>
      </c>
      <c r="AL113" s="40">
        <v>43.393169403076172</v>
      </c>
      <c r="AM113" s="40">
        <v>85.927284240722656</v>
      </c>
      <c r="AN113" s="40">
        <v>154.32942199707031</v>
      </c>
      <c r="AO113" s="40">
        <v>9.4499998092651367</v>
      </c>
      <c r="AP113" s="40">
        <v>58.890087127685547</v>
      </c>
      <c r="AQ113" s="40">
        <v>43.575572967529297</v>
      </c>
      <c r="AR113" s="40">
        <v>47.959148406982422</v>
      </c>
      <c r="AS113" s="40">
        <v>406.78128051757812</v>
      </c>
      <c r="AT113" s="40">
        <v>134.2469482421875</v>
      </c>
      <c r="AU113" s="40">
        <v>48.161613464355469</v>
      </c>
      <c r="AV113" s="40">
        <v>86.169143676757812</v>
      </c>
      <c r="AW113" s="40">
        <v>218.37687683105469</v>
      </c>
      <c r="AX113" s="40">
        <v>141.77894592285159</v>
      </c>
      <c r="AY113" s="40">
        <v>29.253713607788089</v>
      </c>
      <c r="AZ113" s="40">
        <v>2834.39990234375</v>
      </c>
    </row>
    <row r="114" spans="1:52" ht="16" x14ac:dyDescent="0.2">
      <c r="A114" s="41">
        <v>43556</v>
      </c>
      <c r="B114" s="42">
        <v>47.775367736816413</v>
      </c>
      <c r="C114" s="42">
        <v>69.713768005371094</v>
      </c>
      <c r="D114" s="42">
        <v>289.25</v>
      </c>
      <c r="E114" s="42">
        <v>67.900001525878906</v>
      </c>
      <c r="F114" s="42">
        <v>142.87336730957031</v>
      </c>
      <c r="G114" s="42">
        <v>96.325996398925781</v>
      </c>
      <c r="H114" s="42">
        <v>120.4397506713867</v>
      </c>
      <c r="I114" s="42">
        <v>33.130298614501953</v>
      </c>
      <c r="J114" s="42">
        <v>221.9157409667969</v>
      </c>
      <c r="K114" s="42">
        <v>45.370635986328118</v>
      </c>
      <c r="L114" s="42">
        <v>86.747779846191406</v>
      </c>
      <c r="M114" s="42">
        <v>131.1976623535156</v>
      </c>
      <c r="N114" s="42">
        <v>170.5011901855469</v>
      </c>
      <c r="O114" s="42">
        <v>60.001472473144531</v>
      </c>
      <c r="P114" s="42">
        <v>70.911041259765625</v>
      </c>
      <c r="Q114" s="42">
        <v>19.659999847412109</v>
      </c>
      <c r="R114" s="42">
        <v>156.8999938964844</v>
      </c>
      <c r="S114" s="42">
        <v>151.5079040527344</v>
      </c>
      <c r="T114" s="42">
        <v>49.022102355957031</v>
      </c>
      <c r="U114" s="42">
        <v>59.382926940917969</v>
      </c>
      <c r="V114" s="42">
        <v>173.12208557128909</v>
      </c>
      <c r="W114" s="42">
        <v>169.11930847167969</v>
      </c>
      <c r="X114" s="42">
        <v>76.800003051757812</v>
      </c>
      <c r="Y114" s="42">
        <v>114.91257476806641</v>
      </c>
      <c r="Z114" s="42">
        <v>95.528007507324219</v>
      </c>
      <c r="AA114" s="42">
        <v>39.377185821533203</v>
      </c>
      <c r="AB114" s="42">
        <v>78.169288635253906</v>
      </c>
      <c r="AC114" s="42">
        <v>165.73008728027341</v>
      </c>
      <c r="AD114" s="42">
        <v>72.321586608886719</v>
      </c>
      <c r="AE114" s="42">
        <v>38.690177917480469</v>
      </c>
      <c r="AF114" s="42">
        <v>121.9437255859375</v>
      </c>
      <c r="AG114" s="42">
        <v>41.014270782470703</v>
      </c>
      <c r="AH114" s="42">
        <v>40.315563201904297</v>
      </c>
      <c r="AI114" s="42">
        <v>60.086753845214837</v>
      </c>
      <c r="AJ114" s="42">
        <v>4.4865059852600098</v>
      </c>
      <c r="AK114" s="42">
        <v>19.20000076293945</v>
      </c>
      <c r="AL114" s="42">
        <v>42.736366271972663</v>
      </c>
      <c r="AM114" s="42">
        <v>88.554832458496094</v>
      </c>
      <c r="AN114" s="42">
        <v>162.83636474609381</v>
      </c>
      <c r="AO114" s="42">
        <v>9.3400001525878906</v>
      </c>
      <c r="AP114" s="42">
        <v>62.753372192382812</v>
      </c>
      <c r="AQ114" s="42">
        <v>46.405467987060547</v>
      </c>
      <c r="AR114" s="42">
        <v>72.430686950683594</v>
      </c>
      <c r="AS114" s="42">
        <v>339.93212890625</v>
      </c>
      <c r="AT114" s="42">
        <v>141.76483154296881</v>
      </c>
      <c r="AU114" s="42">
        <v>49.673175811767578</v>
      </c>
      <c r="AV114" s="42">
        <v>95.722732543945312</v>
      </c>
      <c r="AW114" s="42">
        <v>205.844482421875</v>
      </c>
      <c r="AX114" s="42">
        <v>150.12286376953119</v>
      </c>
      <c r="AY114" s="42">
        <v>30.846435546875</v>
      </c>
      <c r="AZ114" s="42">
        <v>2945.830078125</v>
      </c>
    </row>
    <row r="115" spans="1:52" ht="16" x14ac:dyDescent="0.2">
      <c r="A115" s="39">
        <v>43586</v>
      </c>
      <c r="B115" s="40">
        <v>41.841053009033203</v>
      </c>
      <c r="C115" s="40">
        <v>66.708259582519531</v>
      </c>
      <c r="D115" s="40">
        <v>270.89999389648438</v>
      </c>
      <c r="E115" s="40">
        <v>68.379997253417969</v>
      </c>
      <c r="F115" s="40">
        <v>133.96183776855469</v>
      </c>
      <c r="G115" s="40">
        <v>88.753501892089844</v>
      </c>
      <c r="H115" s="40">
        <v>103.4994277954102</v>
      </c>
      <c r="I115" s="40">
        <v>31.204730987548832</v>
      </c>
      <c r="J115" s="40">
        <v>217.12278747558591</v>
      </c>
      <c r="K115" s="40">
        <v>42.191852569580078</v>
      </c>
      <c r="L115" s="40">
        <v>83.070175170898438</v>
      </c>
      <c r="M115" s="40">
        <v>126.47544097900391</v>
      </c>
      <c r="N115" s="40">
        <v>170.51048278808591</v>
      </c>
      <c r="O115" s="40">
        <v>51.298938751220703</v>
      </c>
      <c r="P115" s="40">
        <v>60.449726104736328</v>
      </c>
      <c r="Q115" s="40">
        <v>19.590000152587891</v>
      </c>
      <c r="R115" s="40">
        <v>132.08000183105469</v>
      </c>
      <c r="S115" s="40">
        <v>136.3334045410156</v>
      </c>
      <c r="T115" s="40">
        <v>45.503314971923828</v>
      </c>
      <c r="U115" s="40">
        <v>54.803508758544922</v>
      </c>
      <c r="V115" s="40">
        <v>154.11540222167969</v>
      </c>
      <c r="W115" s="40">
        <v>157.62049865722659</v>
      </c>
      <c r="X115" s="40">
        <v>78.629997253417969</v>
      </c>
      <c r="Y115" s="40">
        <v>107.4639129638672</v>
      </c>
      <c r="Z115" s="40">
        <v>87.222320556640625</v>
      </c>
      <c r="AA115" s="40">
        <v>39.433376312255859</v>
      </c>
      <c r="AB115" s="40">
        <v>73.295387268066406</v>
      </c>
      <c r="AC115" s="40">
        <v>167.29132080078119</v>
      </c>
      <c r="AD115" s="40">
        <v>75.391639709472656</v>
      </c>
      <c r="AE115" s="40">
        <v>32.628044128417969</v>
      </c>
      <c r="AF115" s="40">
        <v>115.9098205566406</v>
      </c>
      <c r="AG115" s="40">
        <v>31.799221038818359</v>
      </c>
      <c r="AH115" s="40">
        <v>41.357093811035163</v>
      </c>
      <c r="AI115" s="40">
        <v>48.828212738037109</v>
      </c>
      <c r="AJ115" s="40">
        <v>3.3615226745605469</v>
      </c>
      <c r="AK115" s="40">
        <v>16.39999961853027</v>
      </c>
      <c r="AL115" s="40">
        <v>40.024833679199219</v>
      </c>
      <c r="AM115" s="40">
        <v>85.585800170898438</v>
      </c>
      <c r="AN115" s="40">
        <v>137.67851257324219</v>
      </c>
      <c r="AO115" s="40">
        <v>8.1099996566772461</v>
      </c>
      <c r="AP115" s="40">
        <v>60.297908782958977</v>
      </c>
      <c r="AQ115" s="40">
        <v>34.775810241699219</v>
      </c>
      <c r="AR115" s="40">
        <v>56.192001342773438</v>
      </c>
      <c r="AS115" s="40">
        <v>298.89932250976562</v>
      </c>
      <c r="AT115" s="40">
        <v>131.0810546875</v>
      </c>
      <c r="AU115" s="40">
        <v>45.718643188476562</v>
      </c>
      <c r="AV115" s="40">
        <v>85.298507690429688</v>
      </c>
      <c r="AW115" s="40">
        <v>213.5546569824219</v>
      </c>
      <c r="AX115" s="40">
        <v>142.1630859375</v>
      </c>
      <c r="AY115" s="40">
        <v>30.588136672973629</v>
      </c>
      <c r="AZ115" s="40">
        <v>2752.06005859375</v>
      </c>
    </row>
    <row r="116" spans="1:52" ht="16" x14ac:dyDescent="0.2">
      <c r="A116" s="41">
        <v>43617</v>
      </c>
      <c r="B116" s="42">
        <v>47.302101135253913</v>
      </c>
      <c r="C116" s="42">
        <v>73.691917419433594</v>
      </c>
      <c r="D116" s="42">
        <v>294.64999389648438</v>
      </c>
      <c r="E116" s="42">
        <v>74.949996948242188</v>
      </c>
      <c r="F116" s="42">
        <v>148.08935546875</v>
      </c>
      <c r="G116" s="42">
        <v>94.681503295898438</v>
      </c>
      <c r="H116" s="42">
        <v>117.7358856201172</v>
      </c>
      <c r="I116" s="42">
        <v>32.178932189941413</v>
      </c>
      <c r="J116" s="42">
        <v>239.48933410644531</v>
      </c>
      <c r="K116" s="42">
        <v>44.381336212158203</v>
      </c>
      <c r="L116" s="42">
        <v>90.797103881835938</v>
      </c>
      <c r="M116" s="42">
        <v>133.7551574707031</v>
      </c>
      <c r="N116" s="42">
        <v>183.29966735839841</v>
      </c>
      <c r="O116" s="42">
        <v>56.817150115966797</v>
      </c>
      <c r="P116" s="42">
        <v>68.777442932128906</v>
      </c>
      <c r="Q116" s="42">
        <v>21.370000839233398</v>
      </c>
      <c r="R116" s="42">
        <v>145.6300048828125</v>
      </c>
      <c r="S116" s="42">
        <v>154.13592529296881</v>
      </c>
      <c r="T116" s="42">
        <v>50.661502838134773</v>
      </c>
      <c r="U116" s="42">
        <v>53.629673004150391</v>
      </c>
      <c r="V116" s="42">
        <v>172.78761291503909</v>
      </c>
      <c r="W116" s="42">
        <v>173.87548828125</v>
      </c>
      <c r="X116" s="42">
        <v>84.959999084472656</v>
      </c>
      <c r="Y116" s="42">
        <v>114.1256484985352</v>
      </c>
      <c r="Z116" s="42">
        <v>92.029579162597656</v>
      </c>
      <c r="AA116" s="42">
        <v>41.189140319824219</v>
      </c>
      <c r="AB116" s="42">
        <v>75.908500671386719</v>
      </c>
      <c r="AC116" s="42">
        <v>175.21415710449219</v>
      </c>
      <c r="AD116" s="42">
        <v>79.308647155761719</v>
      </c>
      <c r="AE116" s="42">
        <v>35.129886627197273</v>
      </c>
      <c r="AF116" s="42">
        <v>125.5440368652344</v>
      </c>
      <c r="AG116" s="42">
        <v>37.630546569824219</v>
      </c>
      <c r="AH116" s="42">
        <v>42.744640350341797</v>
      </c>
      <c r="AI116" s="42">
        <v>50.890209197998047</v>
      </c>
      <c r="AJ116" s="42">
        <v>4.0754680633544922</v>
      </c>
      <c r="AK116" s="42">
        <v>20.389999389648441</v>
      </c>
      <c r="AL116" s="42">
        <v>43.289997100830078</v>
      </c>
      <c r="AM116" s="42">
        <v>91.191169738769531</v>
      </c>
      <c r="AN116" s="42">
        <v>153.66807556152341</v>
      </c>
      <c r="AO116" s="42">
        <v>8.1999998092651367</v>
      </c>
      <c r="AP116" s="42">
        <v>66.004524230957031</v>
      </c>
      <c r="AQ116" s="42">
        <v>33.929302215576172</v>
      </c>
      <c r="AR116" s="42">
        <v>64.555511474609375</v>
      </c>
      <c r="AS116" s="42">
        <v>310.07394409179688</v>
      </c>
      <c r="AT116" s="42">
        <v>143.21881103515619</v>
      </c>
      <c r="AU116" s="42">
        <v>48.073215484619141</v>
      </c>
      <c r="AV116" s="42">
        <v>93.84393310546875</v>
      </c>
      <c r="AW116" s="42">
        <v>216.4608459472656</v>
      </c>
      <c r="AX116" s="42">
        <v>144.14918518066409</v>
      </c>
      <c r="AY116" s="42">
        <v>33.317070007324219</v>
      </c>
      <c r="AZ116" s="42">
        <v>2941.760009765625</v>
      </c>
    </row>
    <row r="117" spans="1:52" ht="16" x14ac:dyDescent="0.2">
      <c r="A117" s="39">
        <v>43647</v>
      </c>
      <c r="B117" s="40">
        <v>50.915725708007812</v>
      </c>
      <c r="C117" s="40">
        <v>76.606468200683594</v>
      </c>
      <c r="D117" s="40">
        <v>298.8599853515625</v>
      </c>
      <c r="E117" s="40">
        <v>80.589996337890625</v>
      </c>
      <c r="F117" s="40">
        <v>149.93766784667969</v>
      </c>
      <c r="G117" s="40">
        <v>93.338996887207031</v>
      </c>
      <c r="H117" s="40">
        <v>114.6200790405273</v>
      </c>
      <c r="I117" s="40">
        <v>33.018646240234382</v>
      </c>
      <c r="J117" s="40">
        <v>249.79359436035159</v>
      </c>
      <c r="K117" s="40">
        <v>45.208141326904297</v>
      </c>
      <c r="L117" s="40">
        <v>89.826698303222656</v>
      </c>
      <c r="M117" s="40">
        <v>137.8314514160156</v>
      </c>
      <c r="N117" s="40">
        <v>187.28242492675781</v>
      </c>
      <c r="O117" s="40">
        <v>55.250232696533203</v>
      </c>
      <c r="P117" s="40">
        <v>63.587020874023438</v>
      </c>
      <c r="Q117" s="40">
        <v>21.270000457763668</v>
      </c>
      <c r="R117" s="40">
        <v>146.7200012207031</v>
      </c>
      <c r="S117" s="40">
        <v>158.50935363769531</v>
      </c>
      <c r="T117" s="40">
        <v>50.420257568359382</v>
      </c>
      <c r="U117" s="40">
        <v>60.335861206054688</v>
      </c>
      <c r="V117" s="40">
        <v>185.9029541015625</v>
      </c>
      <c r="W117" s="40">
        <v>178.65777587890619</v>
      </c>
      <c r="X117" s="40">
        <v>84.919998168945312</v>
      </c>
      <c r="Y117" s="40">
        <v>106.7018585205078</v>
      </c>
      <c r="Z117" s="40">
        <v>96.162872314453125</v>
      </c>
      <c r="AA117" s="40">
        <v>42.572357177734382</v>
      </c>
      <c r="AB117" s="40">
        <v>84.22784423828125</v>
      </c>
      <c r="AC117" s="40">
        <v>177.79606628417969</v>
      </c>
      <c r="AD117" s="40">
        <v>83.470054626464844</v>
      </c>
      <c r="AE117" s="40">
        <v>36.009937286376953</v>
      </c>
      <c r="AF117" s="40">
        <v>127.7088928222656</v>
      </c>
      <c r="AG117" s="40">
        <v>43.773902893066413</v>
      </c>
      <c r="AH117" s="40">
        <v>43.226631164550781</v>
      </c>
      <c r="AI117" s="40">
        <v>48.619434356689453</v>
      </c>
      <c r="AJ117" s="40">
        <v>4.1868891716003418</v>
      </c>
      <c r="AK117" s="40">
        <v>15.44999980926514</v>
      </c>
      <c r="AL117" s="40">
        <v>44.088981628417969</v>
      </c>
      <c r="AM117" s="40">
        <v>98.804527282714844</v>
      </c>
      <c r="AN117" s="40">
        <v>158.2507019042969</v>
      </c>
      <c r="AO117" s="40">
        <v>9.630000114440918</v>
      </c>
      <c r="AP117" s="40">
        <v>66.424781799316406</v>
      </c>
      <c r="AQ117" s="40">
        <v>37.354705810546882</v>
      </c>
      <c r="AR117" s="40">
        <v>62.085960388183587</v>
      </c>
      <c r="AS117" s="40">
        <v>301.91091918945312</v>
      </c>
      <c r="AT117" s="40">
        <v>160.32856750488281</v>
      </c>
      <c r="AU117" s="40">
        <v>49.600505828857422</v>
      </c>
      <c r="AV117" s="40">
        <v>102.8350067138672</v>
      </c>
      <c r="AW117" s="40">
        <v>220.8963928222656</v>
      </c>
      <c r="AX117" s="40">
        <v>153.38917541503909</v>
      </c>
      <c r="AY117" s="40">
        <v>33.283897399902337</v>
      </c>
      <c r="AZ117" s="40">
        <v>2980.3798828125</v>
      </c>
    </row>
    <row r="118" spans="1:52" ht="16" x14ac:dyDescent="0.2">
      <c r="A118" s="41">
        <v>43678</v>
      </c>
      <c r="B118" s="42">
        <v>50.077594757080078</v>
      </c>
      <c r="C118" s="42">
        <v>75.040878295898438</v>
      </c>
      <c r="D118" s="42">
        <v>284.510009765625</v>
      </c>
      <c r="E118" s="42">
        <v>87.980003356933594</v>
      </c>
      <c r="F118" s="42">
        <v>168.83695983886719</v>
      </c>
      <c r="G118" s="42">
        <v>88.814498901367188</v>
      </c>
      <c r="H118" s="42">
        <v>103.590705871582</v>
      </c>
      <c r="I118" s="42">
        <v>33.852340698242188</v>
      </c>
      <c r="J118" s="42">
        <v>267.72137451171881</v>
      </c>
      <c r="K118" s="42">
        <v>38.198440551757812</v>
      </c>
      <c r="L118" s="42">
        <v>86.776893615722656</v>
      </c>
      <c r="M118" s="42">
        <v>132.28965759277341</v>
      </c>
      <c r="N118" s="42">
        <v>191.534423828125</v>
      </c>
      <c r="O118" s="42">
        <v>51.184329986572273</v>
      </c>
      <c r="P118" s="42">
        <v>54.950721740722663</v>
      </c>
      <c r="Q118" s="42">
        <v>19.85000038146973</v>
      </c>
      <c r="R118" s="42">
        <v>128.72999572753909</v>
      </c>
      <c r="S118" s="42">
        <v>163.05299377441409</v>
      </c>
      <c r="T118" s="42">
        <v>39.805473327636719</v>
      </c>
      <c r="U118" s="42">
        <v>58.965400695800781</v>
      </c>
      <c r="V118" s="42">
        <v>173.2856750488281</v>
      </c>
      <c r="W118" s="42">
        <v>190.54655456542969</v>
      </c>
      <c r="X118" s="42">
        <v>81.819999694824219</v>
      </c>
      <c r="Y118" s="42">
        <v>105.96591949462891</v>
      </c>
      <c r="Z118" s="42">
        <v>91.072898864746094</v>
      </c>
      <c r="AA118" s="42">
        <v>44.521808624267578</v>
      </c>
      <c r="AB118" s="42">
        <v>81.787651062011719</v>
      </c>
      <c r="AC118" s="42">
        <v>184.8857421875</v>
      </c>
      <c r="AD118" s="42">
        <v>88.341987609863281</v>
      </c>
      <c r="AE118" s="42">
        <v>33.528995513916023</v>
      </c>
      <c r="AF118" s="42">
        <v>129.62922668457031</v>
      </c>
      <c r="AG118" s="42">
        <v>44.144454956054688</v>
      </c>
      <c r="AH118" s="42">
        <v>45.968181610107422</v>
      </c>
      <c r="AI118" s="42">
        <v>39.949573516845703</v>
      </c>
      <c r="AJ118" s="42">
        <v>4.160977840423584</v>
      </c>
      <c r="AK118" s="42">
        <v>12.960000038146971</v>
      </c>
      <c r="AL118" s="42">
        <v>45.413265228271477</v>
      </c>
      <c r="AM118" s="42">
        <v>100.6376419067383</v>
      </c>
      <c r="AN118" s="42">
        <v>150.67185974121091</v>
      </c>
      <c r="AO118" s="42">
        <v>10.80000019073486</v>
      </c>
      <c r="AP118" s="42">
        <v>68.905113220214844</v>
      </c>
      <c r="AQ118" s="42">
        <v>40.219058990478523</v>
      </c>
      <c r="AR118" s="42">
        <v>65.998153686523438</v>
      </c>
      <c r="AS118" s="42">
        <v>287.33840942382812</v>
      </c>
      <c r="AT118" s="42">
        <v>164.97486877441409</v>
      </c>
      <c r="AU118" s="42">
        <v>50.188835144042969</v>
      </c>
      <c r="AV118" s="42">
        <v>101.7984924316406</v>
      </c>
      <c r="AW118" s="42">
        <v>207.58106994628909</v>
      </c>
      <c r="AX118" s="42">
        <v>138.90513610839841</v>
      </c>
      <c r="AY118" s="42">
        <v>34.623470306396477</v>
      </c>
      <c r="AZ118" s="42">
        <v>2926.4599609375</v>
      </c>
    </row>
    <row r="119" spans="1:52" ht="16" x14ac:dyDescent="0.2">
      <c r="A119" s="39">
        <v>43709</v>
      </c>
      <c r="B119" s="40">
        <v>53.731346130371087</v>
      </c>
      <c r="C119" s="40">
        <v>73.589668273925781</v>
      </c>
      <c r="D119" s="40">
        <v>276.25</v>
      </c>
      <c r="E119" s="40">
        <v>79.279998779296875</v>
      </c>
      <c r="F119" s="40">
        <v>156.60833740234381</v>
      </c>
      <c r="G119" s="40">
        <v>86.795501708984375</v>
      </c>
      <c r="H119" s="40">
        <v>109.95412445068359</v>
      </c>
      <c r="I119" s="40">
        <v>34.479518890380859</v>
      </c>
      <c r="J119" s="40">
        <v>261.68133544921881</v>
      </c>
      <c r="K119" s="40">
        <v>40.320125579833977</v>
      </c>
      <c r="L119" s="40">
        <v>87.425559997558594</v>
      </c>
      <c r="M119" s="40">
        <v>125.60097503662109</v>
      </c>
      <c r="N119" s="40">
        <v>184.28289794921881</v>
      </c>
      <c r="O119" s="40">
        <v>57.428825378417969</v>
      </c>
      <c r="P119" s="40">
        <v>54.972938537597663</v>
      </c>
      <c r="Q119" s="40">
        <v>17.680000305175781</v>
      </c>
      <c r="R119" s="40">
        <v>140.41999816894531</v>
      </c>
      <c r="S119" s="40">
        <v>155.7728576660156</v>
      </c>
      <c r="T119" s="40">
        <v>43.181282043457031</v>
      </c>
      <c r="U119" s="40">
        <v>60.481468200683587</v>
      </c>
      <c r="V119" s="40">
        <v>176.10707092285159</v>
      </c>
      <c r="W119" s="40">
        <v>195.16734313964841</v>
      </c>
      <c r="X119" s="40">
        <v>74.230003356933594</v>
      </c>
      <c r="Y119" s="40">
        <v>106.8079833984375</v>
      </c>
      <c r="Z119" s="40">
        <v>97.563880920410156</v>
      </c>
      <c r="AA119" s="40">
        <v>44.358425140380859</v>
      </c>
      <c r="AB119" s="40">
        <v>86.041030883789062</v>
      </c>
      <c r="AC119" s="40">
        <v>182.12055969238281</v>
      </c>
      <c r="AD119" s="40">
        <v>89.388259887695312</v>
      </c>
      <c r="AE119" s="40">
        <v>34.482574462890618</v>
      </c>
      <c r="AF119" s="40">
        <v>130.7293701171875</v>
      </c>
      <c r="AG119" s="40">
        <v>41.784626007080078</v>
      </c>
      <c r="AH119" s="40">
        <v>48.886848449707031</v>
      </c>
      <c r="AI119" s="40">
        <v>43.648597717285163</v>
      </c>
      <c r="AJ119" s="40">
        <v>4.3239283561706543</v>
      </c>
      <c r="AK119" s="40">
        <v>13.55000019073486</v>
      </c>
      <c r="AL119" s="40">
        <v>46.948707580566413</v>
      </c>
      <c r="AM119" s="40">
        <v>104.1113662719727</v>
      </c>
      <c r="AN119" s="40">
        <v>164.1602478027344</v>
      </c>
      <c r="AO119" s="40">
        <v>10.88000011444092</v>
      </c>
      <c r="AP119" s="40">
        <v>70.661163330078125</v>
      </c>
      <c r="AQ119" s="40">
        <v>37.448215484619141</v>
      </c>
      <c r="AR119" s="40">
        <v>65.247673034667969</v>
      </c>
      <c r="AS119" s="40">
        <v>274.80673217773438</v>
      </c>
      <c r="AT119" s="40">
        <v>172.2159423828125</v>
      </c>
      <c r="AU119" s="40">
        <v>50.891864776611328</v>
      </c>
      <c r="AV119" s="40">
        <v>106.3146438598633</v>
      </c>
      <c r="AW119" s="40">
        <v>193.693359375</v>
      </c>
      <c r="AX119" s="40">
        <v>138.9222717285156</v>
      </c>
      <c r="AY119" s="40">
        <v>35.962837219238281</v>
      </c>
      <c r="AZ119" s="40">
        <v>2976.739990234375</v>
      </c>
    </row>
    <row r="120" spans="1:52" ht="16" x14ac:dyDescent="0.2">
      <c r="A120" s="41">
        <v>43739</v>
      </c>
      <c r="B120" s="42">
        <v>59.678550720214837</v>
      </c>
      <c r="C120" s="42">
        <v>73.83172607421875</v>
      </c>
      <c r="D120" s="42">
        <v>277.92999267578119</v>
      </c>
      <c r="E120" s="42">
        <v>84.209999084472656</v>
      </c>
      <c r="F120" s="42">
        <v>172.58404541015619</v>
      </c>
      <c r="G120" s="42">
        <v>88.833000183105469</v>
      </c>
      <c r="H120" s="42">
        <v>120.8991775512695</v>
      </c>
      <c r="I120" s="42">
        <v>34.441093444824219</v>
      </c>
      <c r="J120" s="42">
        <v>270.44210815429688</v>
      </c>
      <c r="K120" s="42">
        <v>39.063308715820312</v>
      </c>
      <c r="L120" s="42">
        <v>85.612190246582031</v>
      </c>
      <c r="M120" s="42">
        <v>125.215446472168</v>
      </c>
      <c r="N120" s="42">
        <v>178.72761535644531</v>
      </c>
      <c r="O120" s="42">
        <v>60.254753112792969</v>
      </c>
      <c r="P120" s="42">
        <v>51.550617218017578</v>
      </c>
      <c r="Q120" s="42">
        <v>15.44999980926514</v>
      </c>
      <c r="R120" s="42">
        <v>144.08000183105469</v>
      </c>
      <c r="S120" s="42">
        <v>151.59104919433591</v>
      </c>
      <c r="T120" s="42">
        <v>48.204616546630859</v>
      </c>
      <c r="U120" s="42">
        <v>62.346729278564453</v>
      </c>
      <c r="V120" s="42">
        <v>181.33341979980469</v>
      </c>
      <c r="W120" s="42">
        <v>197.32073974609381</v>
      </c>
      <c r="X120" s="42">
        <v>83.919998168945312</v>
      </c>
      <c r="Y120" s="42">
        <v>109.00392913818359</v>
      </c>
      <c r="Z120" s="42">
        <v>104.3870544433594</v>
      </c>
      <c r="AA120" s="42">
        <v>44.350284576416023</v>
      </c>
      <c r="AB120" s="42">
        <v>87.486640930175781</v>
      </c>
      <c r="AC120" s="42">
        <v>166.8441162109375</v>
      </c>
      <c r="AD120" s="42">
        <v>89.618682861328125</v>
      </c>
      <c r="AE120" s="42">
        <v>37.494251251220703</v>
      </c>
      <c r="AF120" s="42">
        <v>134.81025695800781</v>
      </c>
      <c r="AG120" s="42">
        <v>46.367774963378913</v>
      </c>
      <c r="AH120" s="42">
        <v>50.009407043457031</v>
      </c>
      <c r="AI120" s="42">
        <v>46.887920379638672</v>
      </c>
      <c r="AJ120" s="42">
        <v>4.9933724403381348</v>
      </c>
      <c r="AK120" s="42">
        <v>14.159999847412109</v>
      </c>
      <c r="AL120" s="42">
        <v>44.489456176757812</v>
      </c>
      <c r="AM120" s="42">
        <v>104.88592529296881</v>
      </c>
      <c r="AN120" s="42">
        <v>166.7779235839844</v>
      </c>
      <c r="AO120" s="42">
        <v>11.80000019073486</v>
      </c>
      <c r="AP120" s="42">
        <v>72.767234802246094</v>
      </c>
      <c r="AQ120" s="42">
        <v>38.452217102050781</v>
      </c>
      <c r="AR120" s="42">
        <v>68.805999755859375</v>
      </c>
      <c r="AS120" s="42">
        <v>303.41668701171881</v>
      </c>
      <c r="AT120" s="42">
        <v>179.24713134765619</v>
      </c>
      <c r="AU120" s="42">
        <v>52.635734558105469</v>
      </c>
      <c r="AV120" s="42">
        <v>97.791908264160156</v>
      </c>
      <c r="AW120" s="42">
        <v>225.2268981933594</v>
      </c>
      <c r="AX120" s="42">
        <v>141.90690612792969</v>
      </c>
      <c r="AY120" s="42">
        <v>35.532546997070312</v>
      </c>
      <c r="AZ120" s="42">
        <v>3037.56005859375</v>
      </c>
    </row>
    <row r="121" spans="1:52" ht="16" x14ac:dyDescent="0.2">
      <c r="A121" s="39">
        <v>43770</v>
      </c>
      <c r="B121" s="40">
        <v>64.306884765625</v>
      </c>
      <c r="C121" s="40">
        <v>75.456535339355469</v>
      </c>
      <c r="D121" s="40">
        <v>309.52999877929688</v>
      </c>
      <c r="E121" s="40">
        <v>93.209999084472656</v>
      </c>
      <c r="F121" s="40">
        <v>191.22196960449219</v>
      </c>
      <c r="G121" s="40">
        <v>90.040000915527344</v>
      </c>
      <c r="H121" s="40">
        <v>126.97922515869141</v>
      </c>
      <c r="I121" s="40">
        <v>33.926250457763672</v>
      </c>
      <c r="J121" s="40">
        <v>272.89968872070312</v>
      </c>
      <c r="K121" s="40">
        <v>37.254428863525391</v>
      </c>
      <c r="L121" s="40">
        <v>87.192733764648438</v>
      </c>
      <c r="M121" s="40">
        <v>146.09111022949219</v>
      </c>
      <c r="N121" s="40">
        <v>173.70271301269531</v>
      </c>
      <c r="O121" s="40">
        <v>63.875476837158203</v>
      </c>
      <c r="P121" s="40">
        <v>52.73321533203125</v>
      </c>
      <c r="Q121" s="40">
        <v>16.629999160766602</v>
      </c>
      <c r="R121" s="40">
        <v>145.71000671386719</v>
      </c>
      <c r="S121" s="40">
        <v>155.8266906738281</v>
      </c>
      <c r="T121" s="40">
        <v>54.435459136962891</v>
      </c>
      <c r="U121" s="40">
        <v>64.589881896972656</v>
      </c>
      <c r="V121" s="40">
        <v>189.16703796386719</v>
      </c>
      <c r="W121" s="40">
        <v>185.48553466796881</v>
      </c>
      <c r="X121" s="40">
        <v>94.160003662109375</v>
      </c>
      <c r="Y121" s="40">
        <v>114.28948974609381</v>
      </c>
      <c r="Z121" s="40">
        <v>110.10276031494141</v>
      </c>
      <c r="AA121" s="40">
        <v>43.836029052734382</v>
      </c>
      <c r="AB121" s="40">
        <v>83.897132873535156</v>
      </c>
      <c r="AC121" s="40">
        <v>166.01829528808591</v>
      </c>
      <c r="AD121" s="40">
        <v>91.667816162109375</v>
      </c>
      <c r="AE121" s="40">
        <v>40.286998748779297</v>
      </c>
      <c r="AF121" s="40">
        <v>142.82640075683591</v>
      </c>
      <c r="AG121" s="40">
        <v>46.328773498535163</v>
      </c>
      <c r="AH121" s="40">
        <v>49.323448181152337</v>
      </c>
      <c r="AI121" s="40">
        <v>50.839996337890618</v>
      </c>
      <c r="AJ121" s="40">
        <v>5.3878316879272461</v>
      </c>
      <c r="AK121" s="40">
        <v>13.409999847412109</v>
      </c>
      <c r="AL121" s="40">
        <v>45.867759704589837</v>
      </c>
      <c r="AM121" s="40">
        <v>102.8220596313477</v>
      </c>
      <c r="AN121" s="40">
        <v>181.48628234863281</v>
      </c>
      <c r="AO121" s="40">
        <v>11.760000228881839</v>
      </c>
      <c r="AP121" s="40">
        <v>75.909759521484375</v>
      </c>
      <c r="AQ121" s="40">
        <v>41.129550933837891</v>
      </c>
      <c r="AR121" s="40">
        <v>71.466224670410156</v>
      </c>
      <c r="AS121" s="40">
        <v>365.5504150390625</v>
      </c>
      <c r="AT121" s="40">
        <v>182.9833679199219</v>
      </c>
      <c r="AU121" s="40">
        <v>56.033740997314453</v>
      </c>
      <c r="AV121" s="40">
        <v>99.631866455078125</v>
      </c>
      <c r="AW121" s="40">
        <v>249.44303894042969</v>
      </c>
      <c r="AX121" s="40">
        <v>151.76460266113281</v>
      </c>
      <c r="AY121" s="40">
        <v>36.087070465087891</v>
      </c>
      <c r="AZ121" s="40">
        <v>3140.97998046875</v>
      </c>
    </row>
    <row r="122" spans="1:52" ht="16" x14ac:dyDescent="0.2">
      <c r="A122" s="41">
        <v>43800</v>
      </c>
      <c r="B122" s="42">
        <v>70.65936279296875</v>
      </c>
      <c r="C122" s="42">
        <v>76.701637268066406</v>
      </c>
      <c r="D122" s="42">
        <v>329.80999755859381</v>
      </c>
      <c r="E122" s="42">
        <v>97.220001220703125</v>
      </c>
      <c r="F122" s="42">
        <v>196.3952331542969</v>
      </c>
      <c r="G122" s="42">
        <v>92.391998291015625</v>
      </c>
      <c r="H122" s="42">
        <v>129.56742858886719</v>
      </c>
      <c r="I122" s="42">
        <v>34.556365966796882</v>
      </c>
      <c r="J122" s="42">
        <v>267.53836059570312</v>
      </c>
      <c r="K122" s="42">
        <v>39.433307647705078</v>
      </c>
      <c r="L122" s="42">
        <v>89.708816528320312</v>
      </c>
      <c r="M122" s="42">
        <v>140.2279357910156</v>
      </c>
      <c r="N122" s="42">
        <v>180.0399169921875</v>
      </c>
      <c r="O122" s="42">
        <v>65.951034545898438</v>
      </c>
      <c r="P122" s="42">
        <v>62.298088073730469</v>
      </c>
      <c r="Q122" s="42">
        <v>17.620000839233398</v>
      </c>
      <c r="R122" s="42">
        <v>139.6499938964844</v>
      </c>
      <c r="S122" s="42">
        <v>151.20524597167969</v>
      </c>
      <c r="T122" s="42">
        <v>53.953025817871087</v>
      </c>
      <c r="U122" s="42">
        <v>66.338241577148438</v>
      </c>
      <c r="V122" s="42">
        <v>196.4995422363281</v>
      </c>
      <c r="W122" s="42">
        <v>184.8686828613281</v>
      </c>
      <c r="X122" s="42">
        <v>87.319999694824219</v>
      </c>
      <c r="Y122" s="42">
        <v>121.2554092407227</v>
      </c>
      <c r="Z122" s="42">
        <v>116.4869842529297</v>
      </c>
      <c r="AA122" s="42">
        <v>45.436794281005859</v>
      </c>
      <c r="AB122" s="42">
        <v>89.262741088867188</v>
      </c>
      <c r="AC122" s="42">
        <v>168.69023132324219</v>
      </c>
      <c r="AD122" s="42">
        <v>93.808334350585938</v>
      </c>
      <c r="AE122" s="42">
        <v>41.622287750244141</v>
      </c>
      <c r="AF122" s="42">
        <v>148.78923034667969</v>
      </c>
      <c r="AG122" s="42">
        <v>52.442882537841797</v>
      </c>
      <c r="AH122" s="42">
        <v>51.082744598388672</v>
      </c>
      <c r="AI122" s="42">
        <v>52.232875823974609</v>
      </c>
      <c r="AJ122" s="42">
        <v>5.8492059707641602</v>
      </c>
      <c r="AK122" s="42">
        <v>14.909999847412109</v>
      </c>
      <c r="AL122" s="42">
        <v>48.850276947021477</v>
      </c>
      <c r="AM122" s="42">
        <v>105.21445465087891</v>
      </c>
      <c r="AN122" s="42">
        <v>187.90434265136719</v>
      </c>
      <c r="AO122" s="42">
        <v>15.760000228881839</v>
      </c>
      <c r="AP122" s="42">
        <v>74.362884521484375</v>
      </c>
      <c r="AQ122" s="42">
        <v>41.483905792236328</v>
      </c>
      <c r="AR122" s="42">
        <v>76.054550170898438</v>
      </c>
      <c r="AS122" s="42">
        <v>371.96981811523438</v>
      </c>
      <c r="AT122" s="42">
        <v>183.1120300292969</v>
      </c>
      <c r="AU122" s="42">
        <v>55.969570159912109</v>
      </c>
      <c r="AV122" s="42">
        <v>106.32871246337891</v>
      </c>
      <c r="AW122" s="42">
        <v>263.02633666992188</v>
      </c>
      <c r="AX122" s="42">
        <v>155.90388488769531</v>
      </c>
      <c r="AY122" s="42">
        <v>36.1728515625</v>
      </c>
      <c r="AZ122" s="42">
        <v>3230.780029296875</v>
      </c>
    </row>
    <row r="123" spans="1:52" ht="16" x14ac:dyDescent="0.2">
      <c r="A123" s="39">
        <v>43831</v>
      </c>
      <c r="B123" s="40">
        <v>74.475677490234375</v>
      </c>
      <c r="C123" s="40">
        <v>77.275718688964844</v>
      </c>
      <c r="D123" s="40">
        <v>351.1400146484375</v>
      </c>
      <c r="E123" s="40">
        <v>94.339996337890625</v>
      </c>
      <c r="F123" s="40">
        <v>176.01188659667969</v>
      </c>
      <c r="G123" s="40">
        <v>100.4359970092773</v>
      </c>
      <c r="H123" s="40">
        <v>116.04860687255859</v>
      </c>
      <c r="I123" s="40">
        <v>33.345314025878913</v>
      </c>
      <c r="J123" s="40">
        <v>278.09713745117188</v>
      </c>
      <c r="K123" s="40">
        <v>38.074962615966797</v>
      </c>
      <c r="L123" s="40">
        <v>79.756072998046875</v>
      </c>
      <c r="M123" s="40">
        <v>134.10028076171881</v>
      </c>
      <c r="N123" s="40">
        <v>182.95054626464841</v>
      </c>
      <c r="O123" s="40">
        <v>61.946937561035163</v>
      </c>
      <c r="P123" s="40">
        <v>54.408847808837891</v>
      </c>
      <c r="Q123" s="40">
        <v>17.20000076293945</v>
      </c>
      <c r="R123" s="40">
        <v>122.120002746582</v>
      </c>
      <c r="S123" s="40">
        <v>151.27455139160159</v>
      </c>
      <c r="T123" s="40">
        <v>60.189540863037109</v>
      </c>
      <c r="U123" s="40">
        <v>70.963722229003906</v>
      </c>
      <c r="V123" s="40">
        <v>203.18255615234381</v>
      </c>
      <c r="W123" s="40">
        <v>193.09715270996091</v>
      </c>
      <c r="X123" s="40">
        <v>73.069999694824219</v>
      </c>
      <c r="Y123" s="40">
        <v>123.74916076660161</v>
      </c>
      <c r="Z123" s="40">
        <v>111.3142013549805</v>
      </c>
      <c r="AA123" s="40">
        <v>47.940525054931641</v>
      </c>
      <c r="AB123" s="40">
        <v>93.019607543945312</v>
      </c>
      <c r="AC123" s="40">
        <v>182.65596008300781</v>
      </c>
      <c r="AD123" s="40">
        <v>95.453826904296875</v>
      </c>
      <c r="AE123" s="40">
        <v>42.829746246337891</v>
      </c>
      <c r="AF123" s="40">
        <v>160.61126708984381</v>
      </c>
      <c r="AG123" s="40">
        <v>51.770030975341797</v>
      </c>
      <c r="AH123" s="40">
        <v>56.575782775878913</v>
      </c>
      <c r="AI123" s="40">
        <v>45.155181884765618</v>
      </c>
      <c r="AJ123" s="40">
        <v>5.8772954940795898</v>
      </c>
      <c r="AK123" s="40">
        <v>12.409999847412109</v>
      </c>
      <c r="AL123" s="40">
        <v>48.933559417724609</v>
      </c>
      <c r="AM123" s="40">
        <v>105.602294921875</v>
      </c>
      <c r="AN123" s="40">
        <v>178.6561279296875</v>
      </c>
      <c r="AO123" s="40">
        <v>12.77999973297119</v>
      </c>
      <c r="AP123" s="40">
        <v>77.482887268066406</v>
      </c>
      <c r="AQ123" s="40">
        <v>39.234745025634773</v>
      </c>
      <c r="AR123" s="40">
        <v>73.537460327148438</v>
      </c>
      <c r="AS123" s="40">
        <v>334.78076171875</v>
      </c>
      <c r="AT123" s="40">
        <v>174.78071594238281</v>
      </c>
      <c r="AU123" s="40">
        <v>54.117961883544922</v>
      </c>
      <c r="AV123" s="40">
        <v>100.7189178466797</v>
      </c>
      <c r="AW123" s="40">
        <v>243.7632751464844</v>
      </c>
      <c r="AX123" s="40">
        <v>154.722412109375</v>
      </c>
      <c r="AY123" s="40">
        <v>34.848773956298828</v>
      </c>
      <c r="AZ123" s="40">
        <v>3225.52001953125</v>
      </c>
    </row>
    <row r="124" spans="1:52" ht="16" x14ac:dyDescent="0.2">
      <c r="A124" s="41">
        <v>43862</v>
      </c>
      <c r="B124" s="42">
        <v>65.933189392089844</v>
      </c>
      <c r="C124" s="42">
        <v>68.310173034667969</v>
      </c>
      <c r="D124" s="42">
        <v>345.1199951171875</v>
      </c>
      <c r="E124" s="42">
        <v>76.269996643066406</v>
      </c>
      <c r="F124" s="42">
        <v>163.87129211425781</v>
      </c>
      <c r="G124" s="42">
        <v>94.1875</v>
      </c>
      <c r="H124" s="42">
        <v>109.76686096191411</v>
      </c>
      <c r="I124" s="42">
        <v>31.214420318603519</v>
      </c>
      <c r="J124" s="42">
        <v>256.445068359375</v>
      </c>
      <c r="K124" s="42">
        <v>33.072288513183587</v>
      </c>
      <c r="L124" s="42">
        <v>70.295333862304688</v>
      </c>
      <c r="M124" s="42">
        <v>114.06911468505859</v>
      </c>
      <c r="N124" s="42">
        <v>168.34132385253909</v>
      </c>
      <c r="O124" s="42">
        <v>55.813621520996087</v>
      </c>
      <c r="P124" s="42">
        <v>47.207557678222663</v>
      </c>
      <c r="Q124" s="42">
        <v>18.590000152587891</v>
      </c>
      <c r="R124" s="42">
        <v>119.9499969482422</v>
      </c>
      <c r="S124" s="42">
        <v>137.6940002441406</v>
      </c>
      <c r="T124" s="42">
        <v>52.599376678466797</v>
      </c>
      <c r="U124" s="42">
        <v>66.331321716308594</v>
      </c>
      <c r="V124" s="42">
        <v>172.62831115722659</v>
      </c>
      <c r="W124" s="42">
        <v>184.41157531738281</v>
      </c>
      <c r="X124" s="42">
        <v>75.410003662109375</v>
      </c>
      <c r="Y124" s="42">
        <v>112.5002365112305</v>
      </c>
      <c r="Z124" s="42">
        <v>97.648025512695312</v>
      </c>
      <c r="AA124" s="42">
        <v>43.909919738769531</v>
      </c>
      <c r="AB124" s="42">
        <v>92.351333618164062</v>
      </c>
      <c r="AC124" s="42">
        <v>166.79093933105469</v>
      </c>
      <c r="AD124" s="42">
        <v>83.240943908691406</v>
      </c>
      <c r="AE124" s="42">
        <v>36.904384613037109</v>
      </c>
      <c r="AF124" s="42">
        <v>153.2732238769531</v>
      </c>
      <c r="AG124" s="42">
        <v>51.253204345703118</v>
      </c>
      <c r="AH124" s="42">
        <v>53.597217559814453</v>
      </c>
      <c r="AI124" s="42">
        <v>39.506561279296882</v>
      </c>
      <c r="AJ124" s="42">
        <v>6.7175512313842773</v>
      </c>
      <c r="AK124" s="42">
        <v>10.539999961853029</v>
      </c>
      <c r="AL124" s="42">
        <v>43.606868743896477</v>
      </c>
      <c r="AM124" s="42">
        <v>95.950492858886719</v>
      </c>
      <c r="AN124" s="42">
        <v>169.39500427246091</v>
      </c>
      <c r="AO124" s="42">
        <v>12.44999980926514</v>
      </c>
      <c r="AP124" s="42">
        <v>70.30853271484375</v>
      </c>
      <c r="AQ124" s="42">
        <v>37.285808563232422</v>
      </c>
      <c r="AR124" s="42">
        <v>67.494827270507812</v>
      </c>
      <c r="AS124" s="42">
        <v>440.41390991210938</v>
      </c>
      <c r="AT124" s="42">
        <v>162.56831359863281</v>
      </c>
      <c r="AU124" s="42">
        <v>55.0172119140625</v>
      </c>
      <c r="AV124" s="42">
        <v>95.284339904785156</v>
      </c>
      <c r="AW124" s="42">
        <v>228.11482238769531</v>
      </c>
      <c r="AX124" s="42">
        <v>138.6230163574219</v>
      </c>
      <c r="AY124" s="42">
        <v>32.775936126708977</v>
      </c>
      <c r="AZ124" s="42">
        <v>2954.219970703125</v>
      </c>
    </row>
    <row r="125" spans="1:52" ht="16" x14ac:dyDescent="0.2">
      <c r="A125" s="39">
        <v>43891</v>
      </c>
      <c r="B125" s="40">
        <v>61.333599090576172</v>
      </c>
      <c r="C125" s="40">
        <v>69.977333068847656</v>
      </c>
      <c r="D125" s="40">
        <v>318.239990234375</v>
      </c>
      <c r="E125" s="40">
        <v>67.599998474121094</v>
      </c>
      <c r="F125" s="40">
        <v>166.33270263671881</v>
      </c>
      <c r="G125" s="40">
        <v>97.486000061035156</v>
      </c>
      <c r="H125" s="40">
        <v>102.522102355957</v>
      </c>
      <c r="I125" s="40">
        <v>26.716594696044918</v>
      </c>
      <c r="J125" s="40">
        <v>260.0845947265625</v>
      </c>
      <c r="K125" s="40">
        <v>32.558773040771477</v>
      </c>
      <c r="L125" s="40">
        <v>54.570388793945312</v>
      </c>
      <c r="M125" s="40">
        <v>93.659805297851562</v>
      </c>
      <c r="N125" s="40">
        <v>145.75386047363281</v>
      </c>
      <c r="O125" s="40">
        <v>41.483680725097663</v>
      </c>
      <c r="P125" s="40">
        <v>26.805185317993161</v>
      </c>
      <c r="Q125" s="40">
        <v>17.219999313354489</v>
      </c>
      <c r="R125" s="40">
        <v>106.629997253418</v>
      </c>
      <c r="S125" s="40">
        <v>114.0853652954102</v>
      </c>
      <c r="T125" s="40">
        <v>38.424049377441413</v>
      </c>
      <c r="U125" s="40">
        <v>57.549873352050781</v>
      </c>
      <c r="V125" s="40">
        <v>132.92131042480469</v>
      </c>
      <c r="W125" s="40">
        <v>159.1160888671875</v>
      </c>
      <c r="X125" s="40">
        <v>73.230003356933594</v>
      </c>
      <c r="Y125" s="40">
        <v>109.69775390625</v>
      </c>
      <c r="Z125" s="40">
        <v>75.714859008789062</v>
      </c>
      <c r="AA125" s="40">
        <v>36.643367767333977</v>
      </c>
      <c r="AB125" s="40">
        <v>85.403770446777344</v>
      </c>
      <c r="AC125" s="40">
        <v>142.0346984863281</v>
      </c>
      <c r="AD125" s="40">
        <v>75.033775329589844</v>
      </c>
      <c r="AE125" s="40">
        <v>27.864740371704102</v>
      </c>
      <c r="AF125" s="40">
        <v>149.2051086425781</v>
      </c>
      <c r="AG125" s="40">
        <v>41.014270782470703</v>
      </c>
      <c r="AH125" s="40">
        <v>51.022968292236328</v>
      </c>
      <c r="AI125" s="40">
        <v>35.253166198730469</v>
      </c>
      <c r="AJ125" s="40">
        <v>6.5566225051879883</v>
      </c>
      <c r="AK125" s="40">
        <v>2.940000057220459</v>
      </c>
      <c r="AL125" s="40">
        <v>14.254587173461911</v>
      </c>
      <c r="AM125" s="40">
        <v>93.213371276855469</v>
      </c>
      <c r="AN125" s="40">
        <v>118.93495941162109</v>
      </c>
      <c r="AO125" s="40">
        <v>10.260000228881839</v>
      </c>
      <c r="AP125" s="40">
        <v>67.605453491210938</v>
      </c>
      <c r="AQ125" s="40">
        <v>30.818862915039059</v>
      </c>
      <c r="AR125" s="40">
        <v>58.778377532958977</v>
      </c>
      <c r="AS125" s="40">
        <v>483.72518920898438</v>
      </c>
      <c r="AT125" s="40">
        <v>144.56385803222659</v>
      </c>
      <c r="AU125" s="40">
        <v>43.986160278320312</v>
      </c>
      <c r="AV125" s="40">
        <v>83.421821594238281</v>
      </c>
      <c r="AW125" s="40">
        <v>224.0888366699219</v>
      </c>
      <c r="AX125" s="40">
        <v>122.34145355224609</v>
      </c>
      <c r="AY125" s="40">
        <v>34.737003326416023</v>
      </c>
      <c r="AZ125" s="40">
        <v>2584.590087890625</v>
      </c>
    </row>
    <row r="126" spans="1:52" ht="16" x14ac:dyDescent="0.2">
      <c r="A126" s="41">
        <v>43922</v>
      </c>
      <c r="B126" s="42">
        <v>70.863235473632812</v>
      </c>
      <c r="C126" s="42">
        <v>82.009269714355469</v>
      </c>
      <c r="D126" s="42">
        <v>353.6400146484375</v>
      </c>
      <c r="E126" s="42">
        <v>81.019996643066406</v>
      </c>
      <c r="F126" s="42">
        <v>196.27143859863281</v>
      </c>
      <c r="G126" s="42">
        <v>123.6999969482422</v>
      </c>
      <c r="H126" s="42">
        <v>103.766487121582</v>
      </c>
      <c r="I126" s="42">
        <v>29.242158889770511</v>
      </c>
      <c r="J126" s="42">
        <v>277.01632690429688</v>
      </c>
      <c r="K126" s="42">
        <v>35.434326171875</v>
      </c>
      <c r="L126" s="42">
        <v>69.286148071289062</v>
      </c>
      <c r="M126" s="42">
        <v>104.85826110839839</v>
      </c>
      <c r="N126" s="42">
        <v>180.9880676269531</v>
      </c>
      <c r="O126" s="42">
        <v>49.64984130859375</v>
      </c>
      <c r="P126" s="42">
        <v>35.771827697753913</v>
      </c>
      <c r="Q126" s="42">
        <v>24.70000076293945</v>
      </c>
      <c r="R126" s="42">
        <v>139.25999450683591</v>
      </c>
      <c r="S126" s="42">
        <v>113.5575790405273</v>
      </c>
      <c r="T126" s="42">
        <v>32.907249450683587</v>
      </c>
      <c r="U126" s="42">
        <v>66.700294494628906</v>
      </c>
      <c r="V126" s="42">
        <v>157.7102355957031</v>
      </c>
      <c r="W126" s="42">
        <v>187.34124755859381</v>
      </c>
      <c r="X126" s="42">
        <v>97.660003662109375</v>
      </c>
      <c r="Y126" s="42">
        <v>125.5170364379883</v>
      </c>
      <c r="Z126" s="42">
        <v>81.370628356933594</v>
      </c>
      <c r="AA126" s="42">
        <v>38.001453399658203</v>
      </c>
      <c r="AB126" s="42">
        <v>83.930328369140625</v>
      </c>
      <c r="AC126" s="42">
        <v>161.11297607421881</v>
      </c>
      <c r="AD126" s="42">
        <v>81.232498168945312</v>
      </c>
      <c r="AE126" s="42">
        <v>32.599231719970703</v>
      </c>
      <c r="AF126" s="42">
        <v>169.5456848144531</v>
      </c>
      <c r="AG126" s="42">
        <v>46.699321746826172</v>
      </c>
      <c r="AH126" s="42">
        <v>49.008502960205078</v>
      </c>
      <c r="AI126" s="42">
        <v>37.461452484130859</v>
      </c>
      <c r="AJ126" s="42">
        <v>7.2699909210205078</v>
      </c>
      <c r="AK126" s="42">
        <v>5.1399998664855957</v>
      </c>
      <c r="AL126" s="42">
        <v>20.208757400512699</v>
      </c>
      <c r="AM126" s="42">
        <v>100.54848480224609</v>
      </c>
      <c r="AN126" s="42">
        <v>144.96263122558591</v>
      </c>
      <c r="AO126" s="42">
        <v>11.94999980926514</v>
      </c>
      <c r="AP126" s="42">
        <v>75.058280944824219</v>
      </c>
      <c r="AQ126" s="42">
        <v>34.820098876953118</v>
      </c>
      <c r="AR126" s="42">
        <v>68.35321044921875</v>
      </c>
      <c r="AS126" s="42">
        <v>520.9637451171875</v>
      </c>
      <c r="AT126" s="42">
        <v>168.74066162109381</v>
      </c>
      <c r="AU126" s="42">
        <v>45.126991271972663</v>
      </c>
      <c r="AV126" s="42">
        <v>96.8955078125</v>
      </c>
      <c r="AW126" s="42">
        <v>262.808837890625</v>
      </c>
      <c r="AX126" s="42">
        <v>138.605712890625</v>
      </c>
      <c r="AY126" s="42">
        <v>37.16143798828125</v>
      </c>
      <c r="AZ126" s="42">
        <v>2912.429931640625</v>
      </c>
    </row>
    <row r="127" spans="1:52" ht="16" x14ac:dyDescent="0.2">
      <c r="A127" s="39">
        <v>43952</v>
      </c>
      <c r="B127" s="40">
        <v>76.893280029296875</v>
      </c>
      <c r="C127" s="40">
        <v>84.529495239257812</v>
      </c>
      <c r="D127" s="40">
        <v>386.60000610351562</v>
      </c>
      <c r="E127" s="40">
        <v>98.959999084472656</v>
      </c>
      <c r="F127" s="40">
        <v>189.73626708984381</v>
      </c>
      <c r="G127" s="40">
        <v>122.1184997558594</v>
      </c>
      <c r="H127" s="40">
        <v>107.1100540161133</v>
      </c>
      <c r="I127" s="40">
        <v>30.773044586181641</v>
      </c>
      <c r="J127" s="40">
        <v>282.01718139648438</v>
      </c>
      <c r="K127" s="40">
        <v>39.982761383056641</v>
      </c>
      <c r="L127" s="40">
        <v>70.074081420898438</v>
      </c>
      <c r="M127" s="40">
        <v>113.7297744750977</v>
      </c>
      <c r="N127" s="40">
        <v>198.83430480957031</v>
      </c>
      <c r="O127" s="40">
        <v>53.640266418457031</v>
      </c>
      <c r="P127" s="40">
        <v>38.376976013183587</v>
      </c>
      <c r="Q127" s="40">
        <v>24.70999908447266</v>
      </c>
      <c r="R127" s="40">
        <v>144.91999816894531</v>
      </c>
      <c r="S127" s="40">
        <v>127.65012359619141</v>
      </c>
      <c r="T127" s="40">
        <v>31.79421234130859</v>
      </c>
      <c r="U127" s="40">
        <v>71.000396728515625</v>
      </c>
      <c r="V127" s="40">
        <v>170.00437927246091</v>
      </c>
      <c r="W127" s="40">
        <v>211.757080078125</v>
      </c>
      <c r="X127" s="40">
        <v>101.9100036621094</v>
      </c>
      <c r="Y127" s="40">
        <v>125.3004837036133</v>
      </c>
      <c r="Z127" s="40">
        <v>82.687721252441406</v>
      </c>
      <c r="AA127" s="40">
        <v>38.655658721923828</v>
      </c>
      <c r="AB127" s="40">
        <v>87.913688659667969</v>
      </c>
      <c r="AC127" s="40">
        <v>161.1148986816406</v>
      </c>
      <c r="AD127" s="40">
        <v>82.02294921875</v>
      </c>
      <c r="AE127" s="40">
        <v>36.542873382568359</v>
      </c>
      <c r="AF127" s="40">
        <v>173.85066223144531</v>
      </c>
      <c r="AG127" s="40">
        <v>46.718818664550781</v>
      </c>
      <c r="AH127" s="40">
        <v>54.190956115722663</v>
      </c>
      <c r="AI127" s="40">
        <v>38.120471954345703</v>
      </c>
      <c r="AJ127" s="40">
        <v>8.8305454254150391</v>
      </c>
      <c r="AK127" s="40">
        <v>6.4200000762939453</v>
      </c>
      <c r="AL127" s="40">
        <v>24.773113250732418</v>
      </c>
      <c r="AM127" s="40">
        <v>98.885047912597656</v>
      </c>
      <c r="AN127" s="40">
        <v>165.94667053222659</v>
      </c>
      <c r="AO127" s="40">
        <v>11.989999771118161</v>
      </c>
      <c r="AP127" s="40">
        <v>76.967750549316406</v>
      </c>
      <c r="AQ127" s="40">
        <v>36.276882171630859</v>
      </c>
      <c r="AR127" s="40">
        <v>70.273399353027344</v>
      </c>
      <c r="AS127" s="40">
        <v>607.0810546875</v>
      </c>
      <c r="AT127" s="40">
        <v>187.2681884765625</v>
      </c>
      <c r="AU127" s="40">
        <v>48.540256500244141</v>
      </c>
      <c r="AV127" s="40">
        <v>99.8990478515625</v>
      </c>
      <c r="AW127" s="40">
        <v>273.93331909179688</v>
      </c>
      <c r="AX127" s="40">
        <v>148.1673889160156</v>
      </c>
      <c r="AY127" s="40">
        <v>38.095653533935547</v>
      </c>
      <c r="AZ127" s="40">
        <v>3044.31005859375</v>
      </c>
    </row>
    <row r="128" spans="1:52" ht="16" x14ac:dyDescent="0.2">
      <c r="A128" s="41">
        <v>43983</v>
      </c>
      <c r="B128" s="42">
        <v>88.226295471191406</v>
      </c>
      <c r="C128" s="42">
        <v>81.421531677246094</v>
      </c>
      <c r="D128" s="42">
        <v>435.30999755859381</v>
      </c>
      <c r="E128" s="42">
        <v>92.55999755859375</v>
      </c>
      <c r="F128" s="42">
        <v>194.8245544433594</v>
      </c>
      <c r="G128" s="42">
        <v>137.94099426269531</v>
      </c>
      <c r="H128" s="42">
        <v>112.7896728515625</v>
      </c>
      <c r="I128" s="42">
        <v>30.47122764587402</v>
      </c>
      <c r="J128" s="42">
        <v>277.208251953125</v>
      </c>
      <c r="K128" s="42">
        <v>38.996150970458977</v>
      </c>
      <c r="L128" s="42">
        <v>68.186592102050781</v>
      </c>
      <c r="M128" s="42">
        <v>108.11598205566411</v>
      </c>
      <c r="N128" s="42">
        <v>186.51527404785159</v>
      </c>
      <c r="O128" s="42">
        <v>54.528118133544922</v>
      </c>
      <c r="P128" s="42">
        <v>38.143569946289062</v>
      </c>
      <c r="Q128" s="42">
        <v>23.739999771118161</v>
      </c>
      <c r="R128" s="42">
        <v>139.47999572753909</v>
      </c>
      <c r="S128" s="42">
        <v>129.93658447265619</v>
      </c>
      <c r="T128" s="42">
        <v>33.101982116699219</v>
      </c>
      <c r="U128" s="42">
        <v>70.234161376953125</v>
      </c>
      <c r="V128" s="42">
        <v>170.9820251464844</v>
      </c>
      <c r="W128" s="42">
        <v>214.7618103027344</v>
      </c>
      <c r="X128" s="42">
        <v>103.9700012207031</v>
      </c>
      <c r="Y128" s="42">
        <v>118.46055603027339</v>
      </c>
      <c r="Z128" s="42">
        <v>79.926078796386719</v>
      </c>
      <c r="AA128" s="42">
        <v>37.335594177246087</v>
      </c>
      <c r="AB128" s="42">
        <v>86.313026428222656</v>
      </c>
      <c r="AC128" s="42">
        <v>159.51519775390619</v>
      </c>
      <c r="AD128" s="42">
        <v>76.799369812011719</v>
      </c>
      <c r="AE128" s="42">
        <v>39.932601928710938</v>
      </c>
      <c r="AF128" s="42">
        <v>193.0715026855469</v>
      </c>
      <c r="AG128" s="42">
        <v>50.239063262939453</v>
      </c>
      <c r="AH128" s="42">
        <v>51.208076477050781</v>
      </c>
      <c r="AI128" s="42">
        <v>37.974967956542969</v>
      </c>
      <c r="AJ128" s="42">
        <v>9.4539575576782227</v>
      </c>
      <c r="AK128" s="42">
        <v>6.3899998664855957</v>
      </c>
      <c r="AL128" s="42">
        <v>22.43016242980957</v>
      </c>
      <c r="AM128" s="42">
        <v>101.998664855957</v>
      </c>
      <c r="AN128" s="42">
        <v>168.98954772949219</v>
      </c>
      <c r="AO128" s="42">
        <v>11.13000011444092</v>
      </c>
      <c r="AP128" s="42">
        <v>78.99212646484375</v>
      </c>
      <c r="AQ128" s="42">
        <v>34.785652160644531</v>
      </c>
      <c r="AR128" s="42">
        <v>79.862106323242188</v>
      </c>
      <c r="AS128" s="42">
        <v>617.81982421875</v>
      </c>
      <c r="AT128" s="42">
        <v>182.2226257324219</v>
      </c>
      <c r="AU128" s="42">
        <v>46.516227722167969</v>
      </c>
      <c r="AV128" s="42">
        <v>106.8231658935547</v>
      </c>
      <c r="AW128" s="42">
        <v>266.17877197265619</v>
      </c>
      <c r="AX128" s="42">
        <v>147.47828674316409</v>
      </c>
      <c r="AY128" s="42">
        <v>36.781375885009773</v>
      </c>
      <c r="AZ128" s="42">
        <v>3100.2900390625</v>
      </c>
    </row>
    <row r="129" spans="1:52" ht="16" x14ac:dyDescent="0.2">
      <c r="A129" s="39">
        <v>44013</v>
      </c>
      <c r="B129" s="40">
        <v>102.7952499389648</v>
      </c>
      <c r="C129" s="40">
        <v>89.971275329589844</v>
      </c>
      <c r="D129" s="40">
        <v>444.32000732421881</v>
      </c>
      <c r="E129" s="40">
        <v>96.410003662109375</v>
      </c>
      <c r="F129" s="40">
        <v>202.10174560546881</v>
      </c>
      <c r="G129" s="40">
        <v>158.23399353027341</v>
      </c>
      <c r="H129" s="40">
        <v>119.3654861450195</v>
      </c>
      <c r="I129" s="40">
        <v>33.457366943359382</v>
      </c>
      <c r="J129" s="40">
        <v>298.25442504882812</v>
      </c>
      <c r="K129" s="40">
        <v>39.690975189208977</v>
      </c>
      <c r="L129" s="40">
        <v>64.144134521484375</v>
      </c>
      <c r="M129" s="40">
        <v>113.38071441650391</v>
      </c>
      <c r="N129" s="40">
        <v>175.38714599609381</v>
      </c>
      <c r="O129" s="40">
        <v>54.510528564453118</v>
      </c>
      <c r="P129" s="40">
        <v>35.555843353271477</v>
      </c>
      <c r="Q129" s="40">
        <v>23.090000152587891</v>
      </c>
      <c r="R129" s="40">
        <v>135.8999938964844</v>
      </c>
      <c r="S129" s="40">
        <v>128.51777648925781</v>
      </c>
      <c r="T129" s="40">
        <v>29.418600082397461</v>
      </c>
      <c r="U129" s="40">
        <v>73.696220397949219</v>
      </c>
      <c r="V129" s="40">
        <v>171.2762145996094</v>
      </c>
      <c r="W129" s="40">
        <v>227.60411071777341</v>
      </c>
      <c r="X129" s="40">
        <v>98.760002136230469</v>
      </c>
      <c r="Y129" s="40">
        <v>122.78184509277339</v>
      </c>
      <c r="Z129" s="40">
        <v>82.918586730957031</v>
      </c>
      <c r="AA129" s="40">
        <v>39.47479248046875</v>
      </c>
      <c r="AB129" s="40">
        <v>90.768630981445312</v>
      </c>
      <c r="AC129" s="40">
        <v>167.998046875</v>
      </c>
      <c r="AD129" s="40">
        <v>80.802650451660156</v>
      </c>
      <c r="AE129" s="40">
        <v>40.693656921386719</v>
      </c>
      <c r="AF129" s="40">
        <v>194.4945068359375</v>
      </c>
      <c r="AG129" s="40">
        <v>48.815364837646477</v>
      </c>
      <c r="AH129" s="40">
        <v>59.849700927734382</v>
      </c>
      <c r="AI129" s="40">
        <v>38.335563659667969</v>
      </c>
      <c r="AJ129" s="40">
        <v>10.56580257415771</v>
      </c>
      <c r="AK129" s="40">
        <v>5.619999885559082</v>
      </c>
      <c r="AL129" s="40">
        <v>19.47177886962891</v>
      </c>
      <c r="AM129" s="40">
        <v>112.5571746826172</v>
      </c>
      <c r="AN129" s="40">
        <v>164.9784851074219</v>
      </c>
      <c r="AO129" s="40">
        <v>11.88000011444092</v>
      </c>
      <c r="AP129" s="40">
        <v>89.22479248046875</v>
      </c>
      <c r="AQ129" s="40">
        <v>36.685371398925781</v>
      </c>
      <c r="AR129" s="40">
        <v>92.470535278320312</v>
      </c>
      <c r="AS129" s="40">
        <v>626.16107177734375</v>
      </c>
      <c r="AT129" s="40">
        <v>204.31895446777341</v>
      </c>
      <c r="AU129" s="40">
        <v>47.831844329833977</v>
      </c>
      <c r="AV129" s="40">
        <v>108.04986572265619</v>
      </c>
      <c r="AW129" s="40">
        <v>273.2449951171875</v>
      </c>
      <c r="AX129" s="40">
        <v>151.2117004394531</v>
      </c>
      <c r="AY129" s="40">
        <v>39.735427856445312</v>
      </c>
      <c r="AZ129" s="40">
        <v>3271.1201171875</v>
      </c>
    </row>
    <row r="130" spans="1:52" ht="16" x14ac:dyDescent="0.2">
      <c r="A130" s="41">
        <v>44044</v>
      </c>
      <c r="B130" s="42">
        <v>125.0575332641602</v>
      </c>
      <c r="C130" s="42">
        <v>97.865203857421875</v>
      </c>
      <c r="D130" s="42">
        <v>513.3900146484375</v>
      </c>
      <c r="E130" s="42">
        <v>93.660003662109375</v>
      </c>
      <c r="F130" s="42">
        <v>210.6484680175781</v>
      </c>
      <c r="G130" s="42">
        <v>172.5480041503906</v>
      </c>
      <c r="H130" s="42">
        <v>127.8364715576172</v>
      </c>
      <c r="I130" s="42">
        <v>35.028610229492188</v>
      </c>
      <c r="J130" s="42">
        <v>318.53018188476562</v>
      </c>
      <c r="K130" s="42">
        <v>35.578624725341797</v>
      </c>
      <c r="L130" s="42">
        <v>65.061141967773438</v>
      </c>
      <c r="M130" s="42">
        <v>127.8562927246094</v>
      </c>
      <c r="N130" s="42">
        <v>184.76210021972659</v>
      </c>
      <c r="O130" s="42">
        <v>61.496627807617188</v>
      </c>
      <c r="P130" s="42">
        <v>34.409847259521477</v>
      </c>
      <c r="Q130" s="42">
        <v>22.219999313354489</v>
      </c>
      <c r="R130" s="42">
        <v>132.33000183105469</v>
      </c>
      <c r="S130" s="42">
        <v>130.80364990234381</v>
      </c>
      <c r="T130" s="42">
        <v>30.727167129516602</v>
      </c>
      <c r="U130" s="42">
        <v>80.708503723144531</v>
      </c>
      <c r="V130" s="42">
        <v>178.32794189453119</v>
      </c>
      <c r="W130" s="42">
        <v>244.36431884765619</v>
      </c>
      <c r="X130" s="42">
        <v>96.349998474121094</v>
      </c>
      <c r="Y130" s="42">
        <v>130.08599853515619</v>
      </c>
      <c r="Z130" s="42">
        <v>85.964530944824219</v>
      </c>
      <c r="AA130" s="42">
        <v>41.388359069824219</v>
      </c>
      <c r="AB130" s="42">
        <v>93.821510314941406</v>
      </c>
      <c r="AC130" s="42">
        <v>185.71553039550781</v>
      </c>
      <c r="AD130" s="42">
        <v>90.0068359375</v>
      </c>
      <c r="AE130" s="42">
        <v>43.507583618164062</v>
      </c>
      <c r="AF130" s="42">
        <v>214.47923278808591</v>
      </c>
      <c r="AG130" s="42">
        <v>44.378498077392578</v>
      </c>
      <c r="AH130" s="42">
        <v>59.823680877685547</v>
      </c>
      <c r="AI130" s="42">
        <v>41.009532928466797</v>
      </c>
      <c r="AJ130" s="42">
        <v>13.312831878662109</v>
      </c>
      <c r="AK130" s="42">
        <v>5.3899998664855957</v>
      </c>
      <c r="AL130" s="42">
        <v>19.171787261962891</v>
      </c>
      <c r="AM130" s="42">
        <v>118.74643707275391</v>
      </c>
      <c r="AN130" s="42">
        <v>190.7578430175781</v>
      </c>
      <c r="AO130" s="42">
        <v>10.02999973297119</v>
      </c>
      <c r="AP130" s="42">
        <v>86.211700439453125</v>
      </c>
      <c r="AQ130" s="42">
        <v>37.758274078369141</v>
      </c>
      <c r="AR130" s="42">
        <v>104.2821731567383</v>
      </c>
      <c r="AS130" s="42">
        <v>614.13458251953125</v>
      </c>
      <c r="AT130" s="42">
        <v>212.04010009765619</v>
      </c>
      <c r="AU130" s="42">
        <v>50.407913208007812</v>
      </c>
      <c r="AV130" s="42">
        <v>120.4177703857422</v>
      </c>
      <c r="AW130" s="42">
        <v>282.06195068359381</v>
      </c>
      <c r="AX130" s="42">
        <v>168.70538330078119</v>
      </c>
      <c r="AY130" s="42">
        <v>42.812572479248047</v>
      </c>
      <c r="AZ130" s="42">
        <v>3500.31005859375</v>
      </c>
    </row>
    <row r="131" spans="1:52" ht="16" x14ac:dyDescent="0.2">
      <c r="A131" s="39">
        <v>44075</v>
      </c>
      <c r="B131" s="40">
        <v>112.2358474731445</v>
      </c>
      <c r="C131" s="40">
        <v>97.293060302734375</v>
      </c>
      <c r="D131" s="40">
        <v>490.42999267578119</v>
      </c>
      <c r="E131" s="40">
        <v>94.510002136230469</v>
      </c>
      <c r="F131" s="40">
        <v>211.34696960449219</v>
      </c>
      <c r="G131" s="40">
        <v>157.4364929199219</v>
      </c>
      <c r="H131" s="40">
        <v>133.98075866699219</v>
      </c>
      <c r="I131" s="40">
        <v>36.162094116210938</v>
      </c>
      <c r="J131" s="40">
        <v>325.25518798828119</v>
      </c>
      <c r="K131" s="40">
        <v>33.193794250488281</v>
      </c>
      <c r="L131" s="40">
        <v>55.813209533691413</v>
      </c>
      <c r="M131" s="40">
        <v>120.3033981323242</v>
      </c>
      <c r="N131" s="40">
        <v>187.7830810546875</v>
      </c>
      <c r="O131" s="40">
        <v>58.044242858886719</v>
      </c>
      <c r="P131" s="40">
        <v>27.27591514587402</v>
      </c>
      <c r="Q131" s="40">
        <v>24.45000076293945</v>
      </c>
      <c r="R131" s="40">
        <v>122.76999664306641</v>
      </c>
      <c r="S131" s="40">
        <v>121.2396926879883</v>
      </c>
      <c r="T131" s="40">
        <v>30.24395751953125</v>
      </c>
      <c r="U131" s="40">
        <v>72.589263916015625</v>
      </c>
      <c r="V131" s="40">
        <v>174.93316650390619</v>
      </c>
      <c r="W131" s="40">
        <v>239.33576965332031</v>
      </c>
      <c r="X131" s="40">
        <v>89.739997863769531</v>
      </c>
      <c r="Y131" s="40">
        <v>126.24472808837891</v>
      </c>
      <c r="Z131" s="40">
        <v>82.601104736328125</v>
      </c>
      <c r="AA131" s="40">
        <v>41.588607788085938</v>
      </c>
      <c r="AB131" s="40">
        <v>90.770195007324219</v>
      </c>
      <c r="AC131" s="40">
        <v>190.9081726074219</v>
      </c>
      <c r="AD131" s="40">
        <v>87.526664733886719</v>
      </c>
      <c r="AE131" s="40">
        <v>40.252426147460938</v>
      </c>
      <c r="AF131" s="40">
        <v>200.02397155761719</v>
      </c>
      <c r="AG131" s="40">
        <v>45.792446136474609</v>
      </c>
      <c r="AH131" s="40">
        <v>59.478675842285163</v>
      </c>
      <c r="AI131" s="40">
        <v>37.937496185302727</v>
      </c>
      <c r="AJ131" s="40">
        <v>13.472140312194821</v>
      </c>
      <c r="AK131" s="40">
        <v>3.5199999809265141</v>
      </c>
      <c r="AL131" s="40">
        <v>18.125289916992191</v>
      </c>
      <c r="AM131" s="40">
        <v>119.3129959106445</v>
      </c>
      <c r="AN131" s="40">
        <v>187.3594970703125</v>
      </c>
      <c r="AO131" s="40">
        <v>9.9600000381469727</v>
      </c>
      <c r="AP131" s="40">
        <v>85.645767211914062</v>
      </c>
      <c r="AQ131" s="40">
        <v>36.025886535644531</v>
      </c>
      <c r="AR131" s="40">
        <v>103.59072113037109</v>
      </c>
      <c r="AS131" s="40">
        <v>554.54681396484375</v>
      </c>
      <c r="AT131" s="40">
        <v>220.15769958496091</v>
      </c>
      <c r="AU131" s="40">
        <v>51.199131011962891</v>
      </c>
      <c r="AV131" s="40">
        <v>120.9599151611328</v>
      </c>
      <c r="AW131" s="40">
        <v>282.51739501953119</v>
      </c>
      <c r="AX131" s="40">
        <v>172.58897399902341</v>
      </c>
      <c r="AY131" s="40">
        <v>43.139400482177727</v>
      </c>
      <c r="AZ131" s="40">
        <v>3363</v>
      </c>
    </row>
    <row r="132" spans="1:52" ht="16" x14ac:dyDescent="0.2">
      <c r="A132" s="41">
        <v>44105</v>
      </c>
      <c r="B132" s="42">
        <v>105.5003280639648</v>
      </c>
      <c r="C132" s="42">
        <v>94.280616760253906</v>
      </c>
      <c r="D132" s="42">
        <v>447.10000610351562</v>
      </c>
      <c r="E132" s="42">
        <v>97.569999694824219</v>
      </c>
      <c r="F132" s="42">
        <v>180.39662170410159</v>
      </c>
      <c r="G132" s="42">
        <v>151.8074951171875</v>
      </c>
      <c r="H132" s="42">
        <v>141.93902587890619</v>
      </c>
      <c r="I132" s="42">
        <v>33.186229705810547</v>
      </c>
      <c r="J132" s="42">
        <v>328.28530883789062</v>
      </c>
      <c r="K132" s="42">
        <v>30.531827926635739</v>
      </c>
      <c r="L132" s="42">
        <v>53.875251770019531</v>
      </c>
      <c r="M132" s="42">
        <v>117.5595397949219</v>
      </c>
      <c r="N132" s="42">
        <v>172.51350402832031</v>
      </c>
      <c r="O132" s="42">
        <v>57.353778839111328</v>
      </c>
      <c r="P132" s="42">
        <v>26.24737548828125</v>
      </c>
      <c r="Q132" s="42">
        <v>20.479999542236332</v>
      </c>
      <c r="R132" s="42">
        <v>132.94000244140619</v>
      </c>
      <c r="S132" s="42">
        <v>115.90142822265619</v>
      </c>
      <c r="T132" s="42">
        <v>36.020885467529297</v>
      </c>
      <c r="U132" s="42">
        <v>80.043815612792969</v>
      </c>
      <c r="V132" s="42">
        <v>164.548828125</v>
      </c>
      <c r="W132" s="42">
        <v>229.8558044433594</v>
      </c>
      <c r="X132" s="42">
        <v>86.639999389648438</v>
      </c>
      <c r="Y132" s="42">
        <v>116.2642059326172</v>
      </c>
      <c r="Z132" s="42">
        <v>84.900375366210938</v>
      </c>
      <c r="AA132" s="42">
        <v>40.485084533691413</v>
      </c>
      <c r="AB132" s="42">
        <v>98.863273620605469</v>
      </c>
      <c r="AC132" s="42">
        <v>185.26324462890619</v>
      </c>
      <c r="AD132" s="42">
        <v>84.705131530761719</v>
      </c>
      <c r="AE132" s="42">
        <v>40.383037567138672</v>
      </c>
      <c r="AF132" s="42">
        <v>192.54914855957031</v>
      </c>
      <c r="AG132" s="42">
        <v>49.088401794433587</v>
      </c>
      <c r="AH132" s="42">
        <v>62.7530517578125</v>
      </c>
      <c r="AI132" s="42">
        <v>38.394069671630859</v>
      </c>
      <c r="AJ132" s="42">
        <v>12.47993850708008</v>
      </c>
      <c r="AK132" s="42">
        <v>4.0799999237060547</v>
      </c>
      <c r="AL132" s="42">
        <v>20.87425422668457</v>
      </c>
      <c r="AM132" s="42">
        <v>118.3440856933594</v>
      </c>
      <c r="AN132" s="42">
        <v>192.93388366699219</v>
      </c>
      <c r="AO132" s="42">
        <v>9.75</v>
      </c>
      <c r="AP132" s="42">
        <v>84.437065124511719</v>
      </c>
      <c r="AQ132" s="42">
        <v>33.225513458251953</v>
      </c>
      <c r="AR132" s="42">
        <v>108.5906600952148</v>
      </c>
      <c r="AS132" s="42">
        <v>538.47857666015625</v>
      </c>
      <c r="AT132" s="42">
        <v>217.38970947265619</v>
      </c>
      <c r="AU132" s="42">
        <v>46.737030029296882</v>
      </c>
      <c r="AV132" s="42">
        <v>123.36468505859381</v>
      </c>
      <c r="AW132" s="42">
        <v>276.50955200195312</v>
      </c>
      <c r="AX132" s="42">
        <v>155.3362121582031</v>
      </c>
      <c r="AY132" s="42">
        <v>42.781734466552727</v>
      </c>
      <c r="AZ132" s="42">
        <v>3269.9599609375</v>
      </c>
    </row>
    <row r="133" spans="1:52" ht="16" x14ac:dyDescent="0.2">
      <c r="A133" s="39">
        <v>44136</v>
      </c>
      <c r="B133" s="40">
        <v>115.5749053955078</v>
      </c>
      <c r="C133" s="40">
        <v>97.070182800292969</v>
      </c>
      <c r="D133" s="40">
        <v>478.47000122070312</v>
      </c>
      <c r="E133" s="40">
        <v>99.25</v>
      </c>
      <c r="F133" s="40">
        <v>185.89176940917969</v>
      </c>
      <c r="G133" s="40">
        <v>158.40199279785159</v>
      </c>
      <c r="H133" s="40">
        <v>156.8875732421875</v>
      </c>
      <c r="I133" s="40">
        <v>39.471504211425781</v>
      </c>
      <c r="J133" s="40">
        <v>359.63400268554688</v>
      </c>
      <c r="K133" s="40">
        <v>36.587162017822273</v>
      </c>
      <c r="L133" s="40">
        <v>68.574897766113281</v>
      </c>
      <c r="M133" s="40">
        <v>143.50505065917969</v>
      </c>
      <c r="N133" s="40">
        <v>208.7470703125</v>
      </c>
      <c r="O133" s="40">
        <v>68.464645385742188</v>
      </c>
      <c r="P133" s="40">
        <v>35.936824798583977</v>
      </c>
      <c r="Q133" s="40">
        <v>19.159999847412109</v>
      </c>
      <c r="R133" s="40">
        <v>162.80999755859381</v>
      </c>
      <c r="S133" s="40">
        <v>131.80442810058591</v>
      </c>
      <c r="T133" s="40">
        <v>49.419502258300781</v>
      </c>
      <c r="U133" s="40">
        <v>86.893150329589844</v>
      </c>
      <c r="V133" s="40">
        <v>200.70707702636719</v>
      </c>
      <c r="W133" s="40">
        <v>239.0772705078125</v>
      </c>
      <c r="X133" s="40">
        <v>84.540000915527344</v>
      </c>
      <c r="Y133" s="40">
        <v>123.5357131958008</v>
      </c>
      <c r="Z133" s="40">
        <v>102.0813674926758</v>
      </c>
      <c r="AA133" s="40">
        <v>43.807949066162109</v>
      </c>
      <c r="AB133" s="40">
        <v>109.0405578613281</v>
      </c>
      <c r="AC133" s="40">
        <v>190.2491760253906</v>
      </c>
      <c r="AD133" s="40">
        <v>95.763870239257812</v>
      </c>
      <c r="AE133" s="40">
        <v>51.856346130371087</v>
      </c>
      <c r="AF133" s="40">
        <v>204.1137390136719</v>
      </c>
      <c r="AG133" s="40">
        <v>62.496540069580078</v>
      </c>
      <c r="AH133" s="40">
        <v>63.374588012695312</v>
      </c>
      <c r="AI133" s="40">
        <v>46.634487152099609</v>
      </c>
      <c r="AJ133" s="40">
        <v>13.34369373321533</v>
      </c>
      <c r="AK133" s="40">
        <v>6.070000171661377</v>
      </c>
      <c r="AL133" s="40">
        <v>25.819293975830082</v>
      </c>
      <c r="AM133" s="40">
        <v>119.8719024658203</v>
      </c>
      <c r="AN133" s="40">
        <v>248.47648620605469</v>
      </c>
      <c r="AO133" s="40">
        <v>11.590000152587891</v>
      </c>
      <c r="AP133" s="40">
        <v>85.160575866699219</v>
      </c>
      <c r="AQ133" s="40">
        <v>41.493743896484382</v>
      </c>
      <c r="AR133" s="40">
        <v>129.55000305175781</v>
      </c>
      <c r="AS133" s="40">
        <v>511.20590209960938</v>
      </c>
      <c r="AT133" s="40">
        <v>236.67399597167969</v>
      </c>
      <c r="AU133" s="40">
        <v>58.430484771728523</v>
      </c>
      <c r="AV133" s="40">
        <v>137.57904052734381</v>
      </c>
      <c r="AW133" s="40">
        <v>304.78216552734381</v>
      </c>
      <c r="AX133" s="40">
        <v>179.75105285644531</v>
      </c>
      <c r="AY133" s="40">
        <v>47.110790252685547</v>
      </c>
      <c r="AZ133" s="40">
        <v>3621.6298828125</v>
      </c>
    </row>
    <row r="134" spans="1:52" ht="16" x14ac:dyDescent="0.2">
      <c r="A134" s="41">
        <v>44166</v>
      </c>
      <c r="B134" s="42">
        <v>128.8167419433594</v>
      </c>
      <c r="C134" s="42">
        <v>98.209327697753906</v>
      </c>
      <c r="D134" s="42">
        <v>500.1199951171875</v>
      </c>
      <c r="E134" s="42">
        <v>117.0899963378906</v>
      </c>
      <c r="F134" s="42">
        <v>192.4888916015625</v>
      </c>
      <c r="G134" s="42">
        <v>162.84649658203119</v>
      </c>
      <c r="H134" s="42">
        <v>164.5065002441406</v>
      </c>
      <c r="I134" s="42">
        <v>41.168525695800781</v>
      </c>
      <c r="J134" s="42">
        <v>354.93338012695312</v>
      </c>
      <c r="K134" s="42">
        <v>38.0584716796875</v>
      </c>
      <c r="L134" s="42">
        <v>66.427497863769531</v>
      </c>
      <c r="M134" s="42">
        <v>175.66545104980469</v>
      </c>
      <c r="N134" s="42">
        <v>203.7484130859375</v>
      </c>
      <c r="O134" s="42">
        <v>71.6285400390625</v>
      </c>
      <c r="P134" s="42">
        <v>38.228866577148438</v>
      </c>
      <c r="Q134" s="42">
        <v>20.069999694824219</v>
      </c>
      <c r="R134" s="42">
        <v>175.94000244140619</v>
      </c>
      <c r="S134" s="42">
        <v>131.3367004394531</v>
      </c>
      <c r="T134" s="42">
        <v>52.477569580078118</v>
      </c>
      <c r="U134" s="42">
        <v>86.805984497070312</v>
      </c>
      <c r="V134" s="42">
        <v>230.7960510253906</v>
      </c>
      <c r="W134" s="42">
        <v>230.1646728515625</v>
      </c>
      <c r="X134" s="42">
        <v>86.980003356933594</v>
      </c>
      <c r="Y134" s="42">
        <v>134.3797302246094</v>
      </c>
      <c r="Z134" s="42">
        <v>110.03968811035161</v>
      </c>
      <c r="AA134" s="42">
        <v>46.558685302734382</v>
      </c>
      <c r="AB134" s="42">
        <v>120.9407043457031</v>
      </c>
      <c r="AC134" s="42">
        <v>187.74678039550781</v>
      </c>
      <c r="AD134" s="42">
        <v>99.153976440429688</v>
      </c>
      <c r="AE134" s="42">
        <v>57.475597381591797</v>
      </c>
      <c r="AF134" s="42">
        <v>212.07539367675781</v>
      </c>
      <c r="AG134" s="42">
        <v>73.310813903808594</v>
      </c>
      <c r="AH134" s="42">
        <v>66.4404296875</v>
      </c>
      <c r="AI134" s="42">
        <v>57.94537353515625</v>
      </c>
      <c r="AJ134" s="42">
        <v>13.00253105163574</v>
      </c>
      <c r="AK134" s="42">
        <v>7.9499998092651367</v>
      </c>
      <c r="AL134" s="42">
        <v>27.626003265380859</v>
      </c>
      <c r="AM134" s="42">
        <v>120.10498046875</v>
      </c>
      <c r="AN134" s="42">
        <v>253.2644348144531</v>
      </c>
      <c r="AO134" s="42">
        <v>11.159999847412109</v>
      </c>
      <c r="AP134" s="42">
        <v>85.324249267578125</v>
      </c>
      <c r="AQ134" s="42">
        <v>43.285198211669922</v>
      </c>
      <c r="AR134" s="42">
        <v>134.67974853515619</v>
      </c>
      <c r="AS134" s="42">
        <v>478.5936279296875</v>
      </c>
      <c r="AT134" s="42">
        <v>232.64726257324219</v>
      </c>
      <c r="AU134" s="42">
        <v>62.828170776367188</v>
      </c>
      <c r="AV134" s="42">
        <v>140.03631591796881</v>
      </c>
      <c r="AW134" s="42">
        <v>318.9197998046875</v>
      </c>
      <c r="AX134" s="42">
        <v>183.39750671386719</v>
      </c>
      <c r="AY134" s="42">
        <v>44.609222412109382</v>
      </c>
      <c r="AZ134" s="42">
        <v>3756.070068359375</v>
      </c>
    </row>
    <row r="135" spans="1:52" ht="16" x14ac:dyDescent="0.2">
      <c r="A135" s="39">
        <v>44197</v>
      </c>
      <c r="B135" s="40">
        <v>128.10807800292969</v>
      </c>
      <c r="C135" s="40">
        <v>111.3032302856445</v>
      </c>
      <c r="D135" s="40">
        <v>458.76998901367188</v>
      </c>
      <c r="E135" s="40">
        <v>112.5500030517578</v>
      </c>
      <c r="F135" s="40">
        <v>202.12507629394531</v>
      </c>
      <c r="G135" s="40">
        <v>160.30999755859381</v>
      </c>
      <c r="H135" s="40">
        <v>166.1268005371094</v>
      </c>
      <c r="I135" s="40">
        <v>39.123260498046882</v>
      </c>
      <c r="J135" s="40">
        <v>331.99526977539062</v>
      </c>
      <c r="K135" s="40">
        <v>38.221382141113281</v>
      </c>
      <c r="L135" s="40">
        <v>67.017448425292969</v>
      </c>
      <c r="M135" s="40">
        <v>163.05145263671881</v>
      </c>
      <c r="N135" s="40">
        <v>192.5891418457031</v>
      </c>
      <c r="O135" s="40">
        <v>70.719474792480469</v>
      </c>
      <c r="P135" s="40">
        <v>39.308193206787109</v>
      </c>
      <c r="Q135" s="40">
        <v>22.20999908447266</v>
      </c>
      <c r="R135" s="40">
        <v>195.94999694824219</v>
      </c>
      <c r="S135" s="40">
        <v>130.38777160644531</v>
      </c>
      <c r="T135" s="40">
        <v>51.894485473632812</v>
      </c>
      <c r="U135" s="40">
        <v>90.506759643554688</v>
      </c>
      <c r="V135" s="40">
        <v>237.32496643066409</v>
      </c>
      <c r="W135" s="40">
        <v>234.6705627441406</v>
      </c>
      <c r="X135" s="40">
        <v>89.75</v>
      </c>
      <c r="Y135" s="40">
        <v>139.28938293457031</v>
      </c>
      <c r="Z135" s="40">
        <v>112.2277069091797</v>
      </c>
      <c r="AA135" s="40">
        <v>40.878932952880859</v>
      </c>
      <c r="AB135" s="40">
        <v>131.64515686035159</v>
      </c>
      <c r="AC135" s="40">
        <v>181.84962463378909</v>
      </c>
      <c r="AD135" s="40">
        <v>94.236068725585938</v>
      </c>
      <c r="AE135" s="40">
        <v>56.523471832275391</v>
      </c>
      <c r="AF135" s="40">
        <v>221.17169189453119</v>
      </c>
      <c r="AG135" s="40">
        <v>76.323982238769531</v>
      </c>
      <c r="AH135" s="40">
        <v>69.644020080566406</v>
      </c>
      <c r="AI135" s="40">
        <v>58.551200866699219</v>
      </c>
      <c r="AJ135" s="40">
        <v>12.937544822692869</v>
      </c>
      <c r="AK135" s="40">
        <v>8.4499998092651367</v>
      </c>
      <c r="AL135" s="40">
        <v>29.320745468139648</v>
      </c>
      <c r="AM135" s="40">
        <v>111.337776184082</v>
      </c>
      <c r="AN135" s="40">
        <v>246.0126953125</v>
      </c>
      <c r="AO135" s="40">
        <v>11.10000038146973</v>
      </c>
      <c r="AP135" s="40">
        <v>88.355018615722656</v>
      </c>
      <c r="AQ135" s="40">
        <v>41.360866546630859</v>
      </c>
      <c r="AR135" s="40">
        <v>138.16304016113281</v>
      </c>
      <c r="AS135" s="40">
        <v>499.12982177734381</v>
      </c>
      <c r="AT135" s="40">
        <v>219.00010681152341</v>
      </c>
      <c r="AU135" s="40">
        <v>58.9180908203125</v>
      </c>
      <c r="AV135" s="40">
        <v>142.2245178222656</v>
      </c>
      <c r="AW135" s="40">
        <v>303.36862182617188</v>
      </c>
      <c r="AX135" s="40">
        <v>173.92906188964841</v>
      </c>
      <c r="AY135" s="40">
        <v>43.476585388183587</v>
      </c>
      <c r="AZ135" s="40">
        <v>3714.239990234375</v>
      </c>
    </row>
    <row r="136" spans="1:52" ht="16" x14ac:dyDescent="0.2">
      <c r="A136" s="41">
        <v>44228</v>
      </c>
      <c r="B136" s="42">
        <v>117.8963241577148</v>
      </c>
      <c r="C136" s="42">
        <v>107.87200927734381</v>
      </c>
      <c r="D136" s="42">
        <v>459.67001342773438</v>
      </c>
      <c r="E136" s="42">
        <v>107.5699996948242</v>
      </c>
      <c r="F136" s="42">
        <v>189.7030334472656</v>
      </c>
      <c r="G136" s="42">
        <v>154.64649963378909</v>
      </c>
      <c r="H136" s="42">
        <v>196.1466369628906</v>
      </c>
      <c r="I136" s="42">
        <v>41.609401702880859</v>
      </c>
      <c r="J136" s="42">
        <v>312.42352294921881</v>
      </c>
      <c r="K136" s="42">
        <v>38.470012664794922</v>
      </c>
      <c r="L136" s="42">
        <v>79.770851135253906</v>
      </c>
      <c r="M136" s="42">
        <v>183.28620910644531</v>
      </c>
      <c r="N136" s="42">
        <v>197.15644836425781</v>
      </c>
      <c r="O136" s="42">
        <v>77.014266967773438</v>
      </c>
      <c r="P136" s="42">
        <v>49.798618316650391</v>
      </c>
      <c r="Q136" s="42">
        <v>21.659999847412109</v>
      </c>
      <c r="R136" s="42">
        <v>189.97999572753909</v>
      </c>
      <c r="S136" s="42">
        <v>145.3128967285156</v>
      </c>
      <c r="T136" s="42">
        <v>60.932273864746087</v>
      </c>
      <c r="U136" s="42">
        <v>100.1425704956055</v>
      </c>
      <c r="V136" s="42">
        <v>279.6053466796875</v>
      </c>
      <c r="W136" s="42">
        <v>223.85638427734381</v>
      </c>
      <c r="X136" s="42">
        <v>78.660003662109375</v>
      </c>
      <c r="Y136" s="42">
        <v>136.14555358886719</v>
      </c>
      <c r="Z136" s="42">
        <v>128.3636779785156</v>
      </c>
      <c r="AA136" s="42">
        <v>41.592086791992188</v>
      </c>
      <c r="AB136" s="42">
        <v>151.1759033203125</v>
      </c>
      <c r="AC136" s="42">
        <v>181.4719543457031</v>
      </c>
      <c r="AD136" s="42">
        <v>99.010078430175781</v>
      </c>
      <c r="AE136" s="42">
        <v>64.801765441894531</v>
      </c>
      <c r="AF136" s="42">
        <v>222.08247375488281</v>
      </c>
      <c r="AG136" s="42">
        <v>89.254302978515625</v>
      </c>
      <c r="AH136" s="42">
        <v>63.611900329589837</v>
      </c>
      <c r="AI136" s="42">
        <v>55.167129516601562</v>
      </c>
      <c r="AJ136" s="42">
        <v>13.659379005432131</v>
      </c>
      <c r="AK136" s="42">
        <v>11.80000019073486</v>
      </c>
      <c r="AL136" s="42">
        <v>32.603961944580078</v>
      </c>
      <c r="AM136" s="42">
        <v>107.27366638183589</v>
      </c>
      <c r="AN136" s="42">
        <v>267.6370849609375</v>
      </c>
      <c r="AO136" s="42">
        <v>11.909999847412109</v>
      </c>
      <c r="AP136" s="42">
        <v>84.819122314453125</v>
      </c>
      <c r="AQ136" s="42">
        <v>46.538352966308587</v>
      </c>
      <c r="AR136" s="42">
        <v>120.401985168457</v>
      </c>
      <c r="AS136" s="42">
        <v>446.35784912109381</v>
      </c>
      <c r="AT136" s="42">
        <v>215.9014892578125</v>
      </c>
      <c r="AU136" s="42">
        <v>60.941764831542969</v>
      </c>
      <c r="AV136" s="42">
        <v>147.87263488769531</v>
      </c>
      <c r="AW136" s="42">
        <v>302.13174438476562</v>
      </c>
      <c r="AX136" s="42">
        <v>182.24418640136719</v>
      </c>
      <c r="AY136" s="42">
        <v>40.205558776855469</v>
      </c>
      <c r="AZ136" s="42">
        <v>3811.14990234375</v>
      </c>
    </row>
    <row r="137" spans="1:52" ht="16" x14ac:dyDescent="0.2">
      <c r="A137" s="39">
        <v>44256</v>
      </c>
      <c r="B137" s="40">
        <v>118.76161956787109</v>
      </c>
      <c r="C137" s="40">
        <v>107.92604064941411</v>
      </c>
      <c r="D137" s="40">
        <v>475.3699951171875</v>
      </c>
      <c r="E137" s="40">
        <v>104.5899963378906</v>
      </c>
      <c r="F137" s="40">
        <v>209.85246276855469</v>
      </c>
      <c r="G137" s="40">
        <v>154.70399475097659</v>
      </c>
      <c r="H137" s="40">
        <v>210.67498779296881</v>
      </c>
      <c r="I137" s="40">
        <v>42.706474304199219</v>
      </c>
      <c r="J137" s="40">
        <v>332.69802856445312</v>
      </c>
      <c r="K137" s="40">
        <v>44.334400177001953</v>
      </c>
      <c r="L137" s="40">
        <v>83.591865539550781</v>
      </c>
      <c r="M137" s="40">
        <v>178.90380859375</v>
      </c>
      <c r="N137" s="40">
        <v>202.0436096191406</v>
      </c>
      <c r="O137" s="40">
        <v>80.887413024902344</v>
      </c>
      <c r="P137" s="40">
        <v>55.946315765380859</v>
      </c>
      <c r="Q137" s="40">
        <v>22.590000152587891</v>
      </c>
      <c r="R137" s="40">
        <v>208.6199951171875</v>
      </c>
      <c r="S137" s="40">
        <v>161.3935546875</v>
      </c>
      <c r="T137" s="40">
        <v>63.846149444580078</v>
      </c>
      <c r="U137" s="40">
        <v>102.153938293457</v>
      </c>
      <c r="V137" s="40">
        <v>287.31094360351562</v>
      </c>
      <c r="W137" s="40">
        <v>266.1622314453125</v>
      </c>
      <c r="X137" s="40">
        <v>81.269996643066406</v>
      </c>
      <c r="Y137" s="40">
        <v>141.20613098144531</v>
      </c>
      <c r="Z137" s="40">
        <v>132.77708435058591</v>
      </c>
      <c r="AA137" s="40">
        <v>45.122795104980469</v>
      </c>
      <c r="AB137" s="40">
        <v>157.18516540527341</v>
      </c>
      <c r="AC137" s="40">
        <v>197.31793212890619</v>
      </c>
      <c r="AD137" s="40">
        <v>100.49461364746089</v>
      </c>
      <c r="AE137" s="40">
        <v>65.467742919921875</v>
      </c>
      <c r="AF137" s="40">
        <v>225.3222351074219</v>
      </c>
      <c r="AG137" s="40">
        <v>86.016853332519531</v>
      </c>
      <c r="AH137" s="40">
        <v>65.455841064453125</v>
      </c>
      <c r="AI137" s="40">
        <v>64.041458129882812</v>
      </c>
      <c r="AJ137" s="40">
        <v>13.299191474914551</v>
      </c>
      <c r="AK137" s="40">
        <v>11.420000076293951</v>
      </c>
      <c r="AL137" s="40">
        <v>37.293212890625</v>
      </c>
      <c r="AM137" s="40">
        <v>117.60765075683589</v>
      </c>
      <c r="AN137" s="40">
        <v>294.19000244140619</v>
      </c>
      <c r="AO137" s="40">
        <v>12.85999965667725</v>
      </c>
      <c r="AP137" s="40">
        <v>91.315711975097656</v>
      </c>
      <c r="AQ137" s="40">
        <v>49.038509368896477</v>
      </c>
      <c r="AR137" s="40">
        <v>117.777946472168</v>
      </c>
      <c r="AS137" s="40">
        <v>468.71685791015619</v>
      </c>
      <c r="AT137" s="40">
        <v>234.2026672363281</v>
      </c>
      <c r="AU137" s="40">
        <v>61.089534759521477</v>
      </c>
      <c r="AV137" s="40">
        <v>162.2247009277344</v>
      </c>
      <c r="AW137" s="40">
        <v>339.57485961914062</v>
      </c>
      <c r="AX137" s="40">
        <v>195.0302734375</v>
      </c>
      <c r="AY137" s="40">
        <v>42.209987640380859</v>
      </c>
      <c r="AZ137" s="40">
        <v>3972.889892578125</v>
      </c>
    </row>
    <row r="138" spans="1:52" ht="16" x14ac:dyDescent="0.2">
      <c r="A138" s="41">
        <v>44287</v>
      </c>
      <c r="B138" s="42">
        <v>127.813362121582</v>
      </c>
      <c r="C138" s="42">
        <v>108.53924560546881</v>
      </c>
      <c r="D138" s="42">
        <v>508.33999633789062</v>
      </c>
      <c r="E138" s="42">
        <v>105.8000030517578</v>
      </c>
      <c r="F138" s="42">
        <v>202.11827087402341</v>
      </c>
      <c r="G138" s="42">
        <v>173.3710021972656</v>
      </c>
      <c r="H138" s="42">
        <v>208.195556640625</v>
      </c>
      <c r="I138" s="42">
        <v>44.519649505615227</v>
      </c>
      <c r="J138" s="42">
        <v>351.959716796875</v>
      </c>
      <c r="K138" s="42">
        <v>43.96142578125</v>
      </c>
      <c r="L138" s="42">
        <v>82.219810485839844</v>
      </c>
      <c r="M138" s="42">
        <v>180.35813903808591</v>
      </c>
      <c r="N138" s="42">
        <v>211.5289611816406</v>
      </c>
      <c r="O138" s="42">
        <v>81.129493713378906</v>
      </c>
      <c r="P138" s="42">
        <v>57.120807647705078</v>
      </c>
      <c r="Q138" s="42">
        <v>24.620000839233398</v>
      </c>
      <c r="R138" s="42">
        <v>186.75999450683591</v>
      </c>
      <c r="S138" s="42">
        <v>170.1965637207031</v>
      </c>
      <c r="T138" s="42">
        <v>63.797527313232422</v>
      </c>
      <c r="U138" s="42">
        <v>116.565803527832</v>
      </c>
      <c r="V138" s="42">
        <v>306.157470703125</v>
      </c>
      <c r="W138" s="42">
        <v>282.22357177734381</v>
      </c>
      <c r="X138" s="42">
        <v>85.379997253417969</v>
      </c>
      <c r="Y138" s="42">
        <v>139.81428527832031</v>
      </c>
      <c r="Z138" s="42">
        <v>134.9452819824219</v>
      </c>
      <c r="AA138" s="42">
        <v>46.209987640380859</v>
      </c>
      <c r="AB138" s="42">
        <v>156.39274597167969</v>
      </c>
      <c r="AC138" s="42">
        <v>207.8291320800781</v>
      </c>
      <c r="AD138" s="42">
        <v>111.375244140625</v>
      </c>
      <c r="AE138" s="42">
        <v>69.885696411132812</v>
      </c>
      <c r="AF138" s="42">
        <v>241.00508117675781</v>
      </c>
      <c r="AG138" s="42">
        <v>83.930061340332031</v>
      </c>
      <c r="AH138" s="42">
        <v>67.100685119628906</v>
      </c>
      <c r="AI138" s="42">
        <v>66.2532958984375</v>
      </c>
      <c r="AJ138" s="42">
        <v>14.954336166381839</v>
      </c>
      <c r="AK138" s="42">
        <v>10.75</v>
      </c>
      <c r="AL138" s="42">
        <v>39.248935699462891</v>
      </c>
      <c r="AM138" s="42">
        <v>116.6034240722656</v>
      </c>
      <c r="AN138" s="42">
        <v>292.67910766601562</v>
      </c>
      <c r="AO138" s="42">
        <v>12.69999980926514</v>
      </c>
      <c r="AP138" s="42">
        <v>100.3869705200195</v>
      </c>
      <c r="AQ138" s="42">
        <v>49.392860412597663</v>
      </c>
      <c r="AR138" s="42">
        <v>123.2942352294922</v>
      </c>
      <c r="AS138" s="42">
        <v>476.800537109375</v>
      </c>
      <c r="AT138" s="42">
        <v>260.73251342773438</v>
      </c>
      <c r="AU138" s="42">
        <v>65.568489074707031</v>
      </c>
      <c r="AV138" s="42">
        <v>155.80084228515619</v>
      </c>
      <c r="AW138" s="42">
        <v>363.97021484375</v>
      </c>
      <c r="AX138" s="42">
        <v>196.5168151855469</v>
      </c>
      <c r="AY138" s="42">
        <v>43.477867126464837</v>
      </c>
      <c r="AZ138" s="42">
        <v>4181.169921875</v>
      </c>
    </row>
    <row r="139" spans="1:52" ht="16" x14ac:dyDescent="0.2">
      <c r="A139" s="39">
        <v>44317</v>
      </c>
      <c r="B139" s="40">
        <v>121.3591690063477</v>
      </c>
      <c r="C139" s="40">
        <v>105.43890380859381</v>
      </c>
      <c r="D139" s="40">
        <v>504.57998657226562</v>
      </c>
      <c r="E139" s="40">
        <v>96.169998168945312</v>
      </c>
      <c r="F139" s="40">
        <v>202.09552001953119</v>
      </c>
      <c r="G139" s="40">
        <v>161.15350341796881</v>
      </c>
      <c r="H139" s="40">
        <v>220.0332336425781</v>
      </c>
      <c r="I139" s="40">
        <v>45.463165283203118</v>
      </c>
      <c r="J139" s="40">
        <v>357.80538940429688</v>
      </c>
      <c r="K139" s="40">
        <v>45.679821014404297</v>
      </c>
      <c r="L139" s="40">
        <v>83.807647705078125</v>
      </c>
      <c r="M139" s="40">
        <v>173.21246337890619</v>
      </c>
      <c r="N139" s="40">
        <v>202.99681091308591</v>
      </c>
      <c r="O139" s="40">
        <v>86.258224487304688</v>
      </c>
      <c r="P139" s="40">
        <v>62.317817687988281</v>
      </c>
      <c r="Q139" s="40">
        <v>22.54999923706055</v>
      </c>
      <c r="R139" s="40">
        <v>185.42999267578119</v>
      </c>
      <c r="S139" s="40">
        <v>169.9103088378906</v>
      </c>
      <c r="T139" s="40">
        <v>68.368392944335938</v>
      </c>
      <c r="U139" s="40">
        <v>116.73170471191411</v>
      </c>
      <c r="V139" s="40">
        <v>327.97064208984381</v>
      </c>
      <c r="W139" s="40">
        <v>278.07302856445312</v>
      </c>
      <c r="X139" s="40">
        <v>83.779998779296875</v>
      </c>
      <c r="Y139" s="40">
        <v>146.3233947753906</v>
      </c>
      <c r="Z139" s="40">
        <v>144.0960693359375</v>
      </c>
      <c r="AA139" s="40">
        <v>47.331428527832031</v>
      </c>
      <c r="AB139" s="40">
        <v>155.62657165527341</v>
      </c>
      <c r="AC139" s="40">
        <v>207.0384216308594</v>
      </c>
      <c r="AD139" s="40">
        <v>107.69163513183589</v>
      </c>
      <c r="AE139" s="40">
        <v>76.997024536132812</v>
      </c>
      <c r="AF139" s="40">
        <v>239.16679382324219</v>
      </c>
      <c r="AG139" s="40">
        <v>82.048049926757812</v>
      </c>
      <c r="AH139" s="40">
        <v>63.386806488037109</v>
      </c>
      <c r="AI139" s="40">
        <v>68.630569458007812</v>
      </c>
      <c r="AJ139" s="40">
        <v>16.184797286987301</v>
      </c>
      <c r="AK139" s="40">
        <v>14.27000045776367</v>
      </c>
      <c r="AL139" s="40">
        <v>39.548904418945312</v>
      </c>
      <c r="AM139" s="40">
        <v>117.8532028198242</v>
      </c>
      <c r="AN139" s="40">
        <v>288.3409423828125</v>
      </c>
      <c r="AO139" s="40">
        <v>13.539999961853029</v>
      </c>
      <c r="AP139" s="40">
        <v>101.5155029296875</v>
      </c>
      <c r="AQ139" s="40">
        <v>46.543277740478523</v>
      </c>
      <c r="AR139" s="40">
        <v>119.510124206543</v>
      </c>
      <c r="AS139" s="40">
        <v>497.73297119140619</v>
      </c>
      <c r="AT139" s="40">
        <v>270.4580078125</v>
      </c>
      <c r="AU139" s="40">
        <v>62.599216461181641</v>
      </c>
      <c r="AV139" s="40">
        <v>163.83648681640619</v>
      </c>
      <c r="AW139" s="40">
        <v>375.94448852539062</v>
      </c>
      <c r="AX139" s="40">
        <v>199.80790710449219</v>
      </c>
      <c r="AY139" s="40">
        <v>44.310001373291023</v>
      </c>
      <c r="AZ139" s="40">
        <v>4204.10986328125</v>
      </c>
    </row>
    <row r="140" spans="1:52" ht="16" x14ac:dyDescent="0.2">
      <c r="A140" s="41">
        <v>44348</v>
      </c>
      <c r="B140" s="42">
        <v>133.386962890625</v>
      </c>
      <c r="C140" s="42">
        <v>104.7880935668945</v>
      </c>
      <c r="D140" s="42">
        <v>585.6400146484375</v>
      </c>
      <c r="E140" s="42">
        <v>87.239997863769531</v>
      </c>
      <c r="F140" s="42">
        <v>207.0302429199219</v>
      </c>
      <c r="G140" s="42">
        <v>172.00799560546881</v>
      </c>
      <c r="H140" s="42">
        <v>198.6304931640625</v>
      </c>
      <c r="I140" s="42">
        <v>45.209445953369141</v>
      </c>
      <c r="J140" s="42">
        <v>374.26406860351562</v>
      </c>
      <c r="K140" s="42">
        <v>45.76617431640625</v>
      </c>
      <c r="L140" s="42">
        <v>84.574729919433594</v>
      </c>
      <c r="M140" s="42">
        <v>170.4201354980469</v>
      </c>
      <c r="N140" s="42">
        <v>194.8346252441406</v>
      </c>
      <c r="O140" s="42">
        <v>86.754005432128906</v>
      </c>
      <c r="P140" s="42">
        <v>64.722412109375</v>
      </c>
      <c r="Q140" s="42">
        <v>18.219999313354489</v>
      </c>
      <c r="R140" s="42">
        <v>186.6600036621094</v>
      </c>
      <c r="S140" s="42">
        <v>168.4340515136719</v>
      </c>
      <c r="T140" s="42">
        <v>65.500625610351562</v>
      </c>
      <c r="U140" s="42">
        <v>120.9386901855469</v>
      </c>
      <c r="V140" s="42">
        <v>334.59136962890619</v>
      </c>
      <c r="W140" s="42">
        <v>279.51376342773438</v>
      </c>
      <c r="X140" s="42">
        <v>84.129997253417969</v>
      </c>
      <c r="Y140" s="42">
        <v>142.42430114746091</v>
      </c>
      <c r="Z140" s="42">
        <v>136.46308898925781</v>
      </c>
      <c r="AA140" s="42">
        <v>46.670314788818359</v>
      </c>
      <c r="AB140" s="42">
        <v>156.24101257324219</v>
      </c>
      <c r="AC140" s="42">
        <v>204.47132873535159</v>
      </c>
      <c r="AD140" s="42">
        <v>106.131706237793</v>
      </c>
      <c r="AE140" s="42">
        <v>77.623489379882812</v>
      </c>
      <c r="AF140" s="42">
        <v>259.4932861328125</v>
      </c>
      <c r="AG140" s="42">
        <v>82.867149353027344</v>
      </c>
      <c r="AH140" s="42">
        <v>63.774066925048828</v>
      </c>
      <c r="AI140" s="42">
        <v>72.577934265136719</v>
      </c>
      <c r="AJ140" s="42">
        <v>19.93355560302734</v>
      </c>
      <c r="AK140" s="42">
        <v>15.569999694824221</v>
      </c>
      <c r="AL140" s="42">
        <v>41.723556518554688</v>
      </c>
      <c r="AM140" s="42">
        <v>117.92311859130859</v>
      </c>
      <c r="AN140" s="42">
        <v>287.36776733398438</v>
      </c>
      <c r="AO140" s="42">
        <v>13.210000038146971</v>
      </c>
      <c r="AP140" s="42">
        <v>103.488166809082</v>
      </c>
      <c r="AQ140" s="42">
        <v>42.665084838867188</v>
      </c>
      <c r="AR140" s="42">
        <v>127.6107559204102</v>
      </c>
      <c r="AS140" s="42">
        <v>553.31842041015625</v>
      </c>
      <c r="AT140" s="42">
        <v>259.88882446289062</v>
      </c>
      <c r="AU140" s="42">
        <v>62.487983703613281</v>
      </c>
      <c r="AV140" s="42">
        <v>165.97698974609381</v>
      </c>
      <c r="AW140" s="42">
        <v>366.80560302734381</v>
      </c>
      <c r="AX140" s="42">
        <v>195.54023742675781</v>
      </c>
      <c r="AY140" s="42">
        <v>43.994918823242188</v>
      </c>
      <c r="AZ140" s="42">
        <v>4297.5</v>
      </c>
    </row>
    <row r="141" spans="1:52" ht="16" x14ac:dyDescent="0.2">
      <c r="A141" s="39">
        <v>44378</v>
      </c>
      <c r="B141" s="40">
        <v>142.05479431152341</v>
      </c>
      <c r="C141" s="40">
        <v>109.76904296875</v>
      </c>
      <c r="D141" s="40">
        <v>621.6300048828125</v>
      </c>
      <c r="E141" s="40">
        <v>86.790000915527344</v>
      </c>
      <c r="F141" s="40">
        <v>205.15315246582031</v>
      </c>
      <c r="G141" s="40">
        <v>166.37950134277341</v>
      </c>
      <c r="H141" s="40">
        <v>189.7129821777344</v>
      </c>
      <c r="I141" s="40">
        <v>46.845001220703118</v>
      </c>
      <c r="J141" s="40">
        <v>407.23385620117188</v>
      </c>
      <c r="K141" s="40">
        <v>48.146034240722663</v>
      </c>
      <c r="L141" s="40">
        <v>82.208839416503906</v>
      </c>
      <c r="M141" s="40">
        <v>170.6625061035156</v>
      </c>
      <c r="N141" s="40">
        <v>208.89128112792969</v>
      </c>
      <c r="O141" s="40">
        <v>90.945686340332031</v>
      </c>
      <c r="P141" s="40">
        <v>57.536338806152337</v>
      </c>
      <c r="Q141" s="40">
        <v>16.85000038146973</v>
      </c>
      <c r="R141" s="40">
        <v>206.50999450683591</v>
      </c>
      <c r="S141" s="40">
        <v>176.50146484375</v>
      </c>
      <c r="T141" s="40">
        <v>63.018817901611328</v>
      </c>
      <c r="U141" s="40">
        <v>133.45655822753909</v>
      </c>
      <c r="V141" s="40">
        <v>330.49200439453119</v>
      </c>
      <c r="W141" s="40">
        <v>287.66531372070312</v>
      </c>
      <c r="X141" s="40">
        <v>77.349998474121094</v>
      </c>
      <c r="Y141" s="40">
        <v>148.8737487792969</v>
      </c>
      <c r="Z141" s="40">
        <v>133.9316711425781</v>
      </c>
      <c r="AA141" s="40">
        <v>49.188835144042969</v>
      </c>
      <c r="AB141" s="40">
        <v>151.90202331542969</v>
      </c>
      <c r="AC141" s="40">
        <v>214.8458251953125</v>
      </c>
      <c r="AD141" s="40">
        <v>112.270637512207</v>
      </c>
      <c r="AE141" s="40">
        <v>81.851753234863281</v>
      </c>
      <c r="AF141" s="40">
        <v>272.91342163085938</v>
      </c>
      <c r="AG141" s="40">
        <v>75.651145935058594</v>
      </c>
      <c r="AH141" s="40">
        <v>67.794784545898438</v>
      </c>
      <c r="AI141" s="40">
        <v>71.030197143554688</v>
      </c>
      <c r="AJ141" s="40">
        <v>19.431791305541989</v>
      </c>
      <c r="AK141" s="40">
        <v>13.260000228881839</v>
      </c>
      <c r="AL141" s="40">
        <v>39.660751342773438</v>
      </c>
      <c r="AM141" s="40">
        <v>125.0847930908203</v>
      </c>
      <c r="AN141" s="40">
        <v>291.97152709960938</v>
      </c>
      <c r="AO141" s="40">
        <v>13.36999988555908</v>
      </c>
      <c r="AP141" s="40">
        <v>110.85605621337891</v>
      </c>
      <c r="AQ141" s="40">
        <v>45.504825592041023</v>
      </c>
      <c r="AR141" s="40">
        <v>133.74436950683591</v>
      </c>
      <c r="AS141" s="40">
        <v>569.2381591796875</v>
      </c>
      <c r="AT141" s="40">
        <v>277.61224365234381</v>
      </c>
      <c r="AU141" s="40">
        <v>63.776302337646477</v>
      </c>
      <c r="AV141" s="40">
        <v>165.4445495605469</v>
      </c>
      <c r="AW141" s="40">
        <v>377.59619140625</v>
      </c>
      <c r="AX141" s="40">
        <v>194.49995422363281</v>
      </c>
      <c r="AY141" s="40">
        <v>44.47222900390625</v>
      </c>
      <c r="AZ141" s="40">
        <v>4395.259765625</v>
      </c>
    </row>
    <row r="142" spans="1:52" ht="16" x14ac:dyDescent="0.2">
      <c r="A142" s="41">
        <v>44409</v>
      </c>
      <c r="B142" s="42">
        <v>148.0905456542969</v>
      </c>
      <c r="C142" s="42">
        <v>114.65956878662109</v>
      </c>
      <c r="D142" s="42">
        <v>663.70001220703125</v>
      </c>
      <c r="E142" s="42">
        <v>89.919998168945312</v>
      </c>
      <c r="F142" s="42">
        <v>193.03416442871091</v>
      </c>
      <c r="G142" s="42">
        <v>173.53950500488281</v>
      </c>
      <c r="H142" s="42">
        <v>193.49348449707031</v>
      </c>
      <c r="I142" s="42">
        <v>48.318107604980469</v>
      </c>
      <c r="J142" s="42">
        <v>431.6553955078125</v>
      </c>
      <c r="K142" s="42">
        <v>51.319839477539062</v>
      </c>
      <c r="L142" s="42">
        <v>79.192665100097656</v>
      </c>
      <c r="M142" s="42">
        <v>175.78179931640619</v>
      </c>
      <c r="N142" s="42">
        <v>213.17633056640619</v>
      </c>
      <c r="O142" s="42">
        <v>95.564079284667969</v>
      </c>
      <c r="P142" s="42">
        <v>53.319412231445312</v>
      </c>
      <c r="Q142" s="42">
        <v>19.170000076293949</v>
      </c>
      <c r="R142" s="42">
        <v>203.57000732421881</v>
      </c>
      <c r="S142" s="42">
        <v>180.35508728027341</v>
      </c>
      <c r="T142" s="42">
        <v>64.119819641113281</v>
      </c>
      <c r="U142" s="42">
        <v>143.33357238769531</v>
      </c>
      <c r="V142" s="42">
        <v>366.31927490234381</v>
      </c>
      <c r="W142" s="42">
        <v>285.90353393554688</v>
      </c>
      <c r="X142" s="42">
        <v>76.489997863769531</v>
      </c>
      <c r="Y142" s="42">
        <v>150.56719970703119</v>
      </c>
      <c r="Z142" s="42">
        <v>141.1408996582031</v>
      </c>
      <c r="AA142" s="42">
        <v>48.567832946777337</v>
      </c>
      <c r="AB142" s="42">
        <v>156.03694152832031</v>
      </c>
      <c r="AC142" s="42">
        <v>211.35093688964841</v>
      </c>
      <c r="AD142" s="42">
        <v>114.12599182128911</v>
      </c>
      <c r="AE142" s="42">
        <v>89.057884216308594</v>
      </c>
      <c r="AF142" s="42">
        <v>289.722412109375</v>
      </c>
      <c r="AG142" s="42">
        <v>71.867607116699219</v>
      </c>
      <c r="AH142" s="42">
        <v>73.429191589355469</v>
      </c>
      <c r="AI142" s="42">
        <v>79.365715026855469</v>
      </c>
      <c r="AJ142" s="42">
        <v>22.311771392822269</v>
      </c>
      <c r="AK142" s="42">
        <v>12.30000019073486</v>
      </c>
      <c r="AL142" s="42">
        <v>40.080486297607422</v>
      </c>
      <c r="AM142" s="42">
        <v>125.2255172729492</v>
      </c>
      <c r="AN142" s="42">
        <v>278.54421997070312</v>
      </c>
      <c r="AO142" s="42">
        <v>15.069999694824221</v>
      </c>
      <c r="AP142" s="42">
        <v>116.5875930786133</v>
      </c>
      <c r="AQ142" s="42">
        <v>53.261215209960938</v>
      </c>
      <c r="AR142" s="42">
        <v>130.9677429199219</v>
      </c>
      <c r="AS142" s="42">
        <v>667.10479736328125</v>
      </c>
      <c r="AT142" s="42">
        <v>290.19955444335938</v>
      </c>
      <c r="AU142" s="42">
        <v>67.646507263183594</v>
      </c>
      <c r="AV142" s="42">
        <v>165.69624328613281</v>
      </c>
      <c r="AW142" s="42">
        <v>381.30596923828119</v>
      </c>
      <c r="AX142" s="42">
        <v>193.72900390625</v>
      </c>
      <c r="AY142" s="42">
        <v>46.373725891113281</v>
      </c>
      <c r="AZ142" s="42">
        <v>4522.68017578125</v>
      </c>
    </row>
    <row r="143" spans="1:52" ht="16" x14ac:dyDescent="0.2">
      <c r="A143" s="39">
        <v>44440</v>
      </c>
      <c r="B143" s="40">
        <v>138.01499938964841</v>
      </c>
      <c r="C143" s="40">
        <v>107.1831588745117</v>
      </c>
      <c r="D143" s="40">
        <v>575.719970703125</v>
      </c>
      <c r="E143" s="40">
        <v>79.75</v>
      </c>
      <c r="F143" s="40">
        <v>182.010009765625</v>
      </c>
      <c r="G143" s="40">
        <v>164.25199890136719</v>
      </c>
      <c r="H143" s="40">
        <v>176.1509094238281</v>
      </c>
      <c r="I143" s="40">
        <v>44.535800933837891</v>
      </c>
      <c r="J143" s="40">
        <v>425.83670043945312</v>
      </c>
      <c r="K143" s="40">
        <v>47.328689575195312</v>
      </c>
      <c r="L143" s="40">
        <v>83.022575378417969</v>
      </c>
      <c r="M143" s="40">
        <v>164.02101135253909</v>
      </c>
      <c r="N143" s="40">
        <v>197.7616882324219</v>
      </c>
      <c r="O143" s="40">
        <v>85.328292846679688</v>
      </c>
      <c r="P143" s="40">
        <v>63.387870788574219</v>
      </c>
      <c r="Q143" s="40">
        <v>21.139999389648441</v>
      </c>
      <c r="R143" s="40">
        <v>198.7799987792969</v>
      </c>
      <c r="S143" s="40">
        <v>176.50146484375</v>
      </c>
      <c r="T143" s="40">
        <v>62.720821380615227</v>
      </c>
      <c r="U143" s="40">
        <v>132.41596984863281</v>
      </c>
      <c r="V143" s="40">
        <v>334.88836669921881</v>
      </c>
      <c r="W143" s="40">
        <v>289.1895751953125</v>
      </c>
      <c r="X143" s="40">
        <v>68.779998779296875</v>
      </c>
      <c r="Y143" s="40">
        <v>140.452880859375</v>
      </c>
      <c r="Z143" s="40">
        <v>144.44111633300781</v>
      </c>
      <c r="AA143" s="40">
        <v>45.597358703613281</v>
      </c>
      <c r="AB143" s="40">
        <v>143.76237487792969</v>
      </c>
      <c r="AC143" s="40">
        <v>214.5995788574219</v>
      </c>
      <c r="AD143" s="40">
        <v>107.7011413574219</v>
      </c>
      <c r="AE143" s="40">
        <v>82.9859619140625</v>
      </c>
      <c r="AF143" s="40">
        <v>270.56634521484381</v>
      </c>
      <c r="AG143" s="40">
        <v>69.311996459960938</v>
      </c>
      <c r="AH143" s="40">
        <v>68.647003173828125</v>
      </c>
      <c r="AI143" s="40">
        <v>80.106430053710938</v>
      </c>
      <c r="AJ143" s="40">
        <v>20.648233413696289</v>
      </c>
      <c r="AK143" s="40">
        <v>13.319999694824221</v>
      </c>
      <c r="AL143" s="40">
        <v>44.254901885986328</v>
      </c>
      <c r="AM143" s="40">
        <v>122.94773864746089</v>
      </c>
      <c r="AN143" s="40">
        <v>262.5360107421875</v>
      </c>
      <c r="AO143" s="40">
        <v>13.63000011444092</v>
      </c>
      <c r="AP143" s="40">
        <v>109.112060546875</v>
      </c>
      <c r="AQ143" s="40">
        <v>50.500217437744141</v>
      </c>
      <c r="AR143" s="40">
        <v>115.6921691894531</v>
      </c>
      <c r="AS143" s="40">
        <v>599.52239990234375</v>
      </c>
      <c r="AT143" s="40">
        <v>267.32156372070312</v>
      </c>
      <c r="AU143" s="40">
        <v>61.376750946044922</v>
      </c>
      <c r="AV143" s="40">
        <v>166.82460021972659</v>
      </c>
      <c r="AW143" s="40">
        <v>359.1766357421875</v>
      </c>
      <c r="AX143" s="40">
        <v>175.119140625</v>
      </c>
      <c r="AY143" s="40">
        <v>43.643276214599609</v>
      </c>
      <c r="AZ143" s="40">
        <v>4307.5400390625</v>
      </c>
    </row>
    <row r="144" spans="1:52" ht="16" x14ac:dyDescent="0.2">
      <c r="A144" s="41">
        <v>44470</v>
      </c>
      <c r="B144" s="42">
        <v>146.11061096191409</v>
      </c>
      <c r="C144" s="42">
        <v>117.397590637207</v>
      </c>
      <c r="D144" s="42">
        <v>650.3599853515625</v>
      </c>
      <c r="E144" s="42">
        <v>93.5</v>
      </c>
      <c r="F144" s="42">
        <v>177.14842224121091</v>
      </c>
      <c r="G144" s="42">
        <v>168.62150573730469</v>
      </c>
      <c r="H144" s="42">
        <v>188.2323913574219</v>
      </c>
      <c r="I144" s="42">
        <v>41.133651733398438</v>
      </c>
      <c r="J144" s="42">
        <v>466.57260131835938</v>
      </c>
      <c r="K144" s="42">
        <v>48.996528625488281</v>
      </c>
      <c r="L144" s="42">
        <v>93.694000244140625</v>
      </c>
      <c r="M144" s="42">
        <v>163.92405700683591</v>
      </c>
      <c r="N144" s="42">
        <v>210.65380859375</v>
      </c>
      <c r="O144" s="42">
        <v>87.873649597167969</v>
      </c>
      <c r="P144" s="42">
        <v>73.349205017089844</v>
      </c>
      <c r="Q144" s="42">
        <v>21.510000228881839</v>
      </c>
      <c r="R144" s="42">
        <v>211.1499938964844</v>
      </c>
      <c r="S144" s="42">
        <v>183.6482238769531</v>
      </c>
      <c r="T144" s="42">
        <v>63.8409423828125</v>
      </c>
      <c r="U144" s="42">
        <v>146.65052795410159</v>
      </c>
      <c r="V144" s="42">
        <v>366.17755126953119</v>
      </c>
      <c r="W144" s="42">
        <v>327.494384765625</v>
      </c>
      <c r="X144" s="42">
        <v>66.980003356933594</v>
      </c>
      <c r="Y144" s="42">
        <v>141.65303039550781</v>
      </c>
      <c r="Z144" s="42">
        <v>150.81538391113281</v>
      </c>
      <c r="AA144" s="42">
        <v>48.986526489257812</v>
      </c>
      <c r="AB144" s="42">
        <v>137.96604919433591</v>
      </c>
      <c r="AC144" s="42">
        <v>218.5514221191406</v>
      </c>
      <c r="AD144" s="42">
        <v>102.984130859375</v>
      </c>
      <c r="AE144" s="42">
        <v>88.257255554199219</v>
      </c>
      <c r="AF144" s="42">
        <v>318.26483154296881</v>
      </c>
      <c r="AG144" s="42">
        <v>67.476158142089844</v>
      </c>
      <c r="AH144" s="42">
        <v>74.600738525390625</v>
      </c>
      <c r="AI144" s="42">
        <v>80.140304565429688</v>
      </c>
      <c r="AJ144" s="42">
        <v>25.483364105224609</v>
      </c>
      <c r="AK144" s="42">
        <v>13.60000038146973</v>
      </c>
      <c r="AL144" s="42">
        <v>49.254520416259773</v>
      </c>
      <c r="AM144" s="42">
        <v>126.5327453613281</v>
      </c>
      <c r="AN144" s="42">
        <v>278.4691162109375</v>
      </c>
      <c r="AO144" s="42">
        <v>12.989999771118161</v>
      </c>
      <c r="AP144" s="42">
        <v>126.1012802124023</v>
      </c>
      <c r="AQ144" s="42">
        <v>54.41778564453125</v>
      </c>
      <c r="AR144" s="42">
        <v>119.33387756347661</v>
      </c>
      <c r="AS144" s="42">
        <v>633.95758056640625</v>
      </c>
      <c r="AT144" s="42">
        <v>302.56558227539062</v>
      </c>
      <c r="AU144" s="42">
        <v>60.920928955078118</v>
      </c>
      <c r="AV144" s="42">
        <v>163.721435546875</v>
      </c>
      <c r="AW144" s="42">
        <v>423.27398681640619</v>
      </c>
      <c r="AX144" s="42">
        <v>215.67140197753909</v>
      </c>
      <c r="AY144" s="42">
        <v>46.78704833984375</v>
      </c>
      <c r="AZ144" s="42">
        <v>4605.3798828125</v>
      </c>
    </row>
    <row r="145" spans="1:52" ht="16" x14ac:dyDescent="0.2">
      <c r="A145" s="39">
        <v>44501</v>
      </c>
      <c r="B145" s="40">
        <v>161.46417236328119</v>
      </c>
      <c r="C145" s="40">
        <v>114.55576324462891</v>
      </c>
      <c r="D145" s="40">
        <v>669.8499755859375</v>
      </c>
      <c r="E145" s="40">
        <v>87.220001220703125</v>
      </c>
      <c r="F145" s="40">
        <v>171.6532287597656</v>
      </c>
      <c r="G145" s="40">
        <v>175.35350036621091</v>
      </c>
      <c r="H145" s="40">
        <v>178.3968200683594</v>
      </c>
      <c r="I145" s="40">
        <v>39.973949432373047</v>
      </c>
      <c r="J145" s="40">
        <v>511.98251342773438</v>
      </c>
      <c r="K145" s="40">
        <v>48.007312774658203</v>
      </c>
      <c r="L145" s="40">
        <v>93.435836791992188</v>
      </c>
      <c r="M145" s="40">
        <v>140.4897155761719</v>
      </c>
      <c r="N145" s="40">
        <v>209.94285583496091</v>
      </c>
      <c r="O145" s="40">
        <v>79.98980712890625</v>
      </c>
      <c r="P145" s="40">
        <v>69.017738342285156</v>
      </c>
      <c r="Q145" s="40">
        <v>16.79000091552734</v>
      </c>
      <c r="R145" s="40">
        <v>227.58000183105469</v>
      </c>
      <c r="S145" s="40">
        <v>171.1664733886719</v>
      </c>
      <c r="T145" s="40">
        <v>57.826362609863281</v>
      </c>
      <c r="U145" s="40">
        <v>140.55999755859381</v>
      </c>
      <c r="V145" s="40">
        <v>337.51055908203119</v>
      </c>
      <c r="W145" s="40">
        <v>352.92825317382812</v>
      </c>
      <c r="X145" s="40">
        <v>67.720001220703125</v>
      </c>
      <c r="Y145" s="40">
        <v>136.49702453613281</v>
      </c>
      <c r="Z145" s="40">
        <v>140.9971618652344</v>
      </c>
      <c r="AA145" s="40">
        <v>45.933437347412109</v>
      </c>
      <c r="AB145" s="40">
        <v>138.1121520996094</v>
      </c>
      <c r="AC145" s="40">
        <v>218.91282653808591</v>
      </c>
      <c r="AD145" s="40">
        <v>91.676994323730469</v>
      </c>
      <c r="AE145" s="40">
        <v>81.422004699707031</v>
      </c>
      <c r="AF145" s="40">
        <v>317.85662841796881</v>
      </c>
      <c r="AG145" s="40">
        <v>82.026016235351562</v>
      </c>
      <c r="AH145" s="40">
        <v>76.204421997070312</v>
      </c>
      <c r="AI145" s="40">
        <v>79.763397216796875</v>
      </c>
      <c r="AJ145" s="40">
        <v>32.569110870361328</v>
      </c>
      <c r="AK145" s="40">
        <v>10.689999580383301</v>
      </c>
      <c r="AL145" s="40">
        <v>46.328048706054688</v>
      </c>
      <c r="AM145" s="40">
        <v>127.9397811889648</v>
      </c>
      <c r="AN145" s="40">
        <v>284.49407958984381</v>
      </c>
      <c r="AO145" s="40">
        <v>13.210000038146971</v>
      </c>
      <c r="AP145" s="40">
        <v>131.1380310058594</v>
      </c>
      <c r="AQ145" s="40">
        <v>51.917629241943359</v>
      </c>
      <c r="AR145" s="40">
        <v>161.95829772949219</v>
      </c>
      <c r="AS145" s="40">
        <v>630.57940673828125</v>
      </c>
      <c r="AT145" s="40">
        <v>317.07003784179688</v>
      </c>
      <c r="AU145" s="40">
        <v>64.799201965332031</v>
      </c>
      <c r="AV145" s="40">
        <v>167.9917297363281</v>
      </c>
      <c r="AW145" s="40">
        <v>408.33657836914062</v>
      </c>
      <c r="AX145" s="40">
        <v>210.52531433105469</v>
      </c>
      <c r="AY145" s="40">
        <v>44.034690856933587</v>
      </c>
      <c r="AZ145" s="40">
        <v>4567</v>
      </c>
    </row>
    <row r="146" spans="1:52" ht="16" x14ac:dyDescent="0.2">
      <c r="A146" s="41">
        <v>44531</v>
      </c>
      <c r="B146" s="42">
        <v>173.44944763183591</v>
      </c>
      <c r="C146" s="42">
        <v>128.19096374511719</v>
      </c>
      <c r="D146" s="42">
        <v>567.05999755859375</v>
      </c>
      <c r="E146" s="42">
        <v>93.510002136230469</v>
      </c>
      <c r="F146" s="42">
        <v>194.17149353027341</v>
      </c>
      <c r="G146" s="42">
        <v>166.71699523925781</v>
      </c>
      <c r="H146" s="42">
        <v>190.75128173828119</v>
      </c>
      <c r="I146" s="42">
        <v>40.253890991210938</v>
      </c>
      <c r="J146" s="42">
        <v>538.8641357421875</v>
      </c>
      <c r="K146" s="42">
        <v>55.474540710449219</v>
      </c>
      <c r="L146" s="42">
        <v>97.144454956054688</v>
      </c>
      <c r="M146" s="42">
        <v>150.17564392089841</v>
      </c>
      <c r="N146" s="42">
        <v>222.869873046875</v>
      </c>
      <c r="O146" s="42">
        <v>84.661346435546875</v>
      </c>
      <c r="P146" s="42">
        <v>72.107757568359375</v>
      </c>
      <c r="Q146" s="42">
        <v>18.280000686645511</v>
      </c>
      <c r="R146" s="42">
        <v>244.71000671386719</v>
      </c>
      <c r="S146" s="42">
        <v>188.829345703125</v>
      </c>
      <c r="T146" s="42">
        <v>57.560169219970703</v>
      </c>
      <c r="U146" s="42">
        <v>143.48663330078119</v>
      </c>
      <c r="V146" s="42">
        <v>340.68093872070312</v>
      </c>
      <c r="W146" s="42">
        <v>367.12640380859381</v>
      </c>
      <c r="X146" s="42">
        <v>73.400001525878906</v>
      </c>
      <c r="Y146" s="42">
        <v>149.75013732910159</v>
      </c>
      <c r="Z146" s="42">
        <v>140.5710754394531</v>
      </c>
      <c r="AA146" s="42">
        <v>51.853557586669922</v>
      </c>
      <c r="AB146" s="42">
        <v>144.26228332519531</v>
      </c>
      <c r="AC146" s="42">
        <v>239.9180603027344</v>
      </c>
      <c r="AD146" s="42">
        <v>89.450798034667969</v>
      </c>
      <c r="AE146" s="42">
        <v>84.290061950683594</v>
      </c>
      <c r="AF146" s="42">
        <v>323.36602783203119</v>
      </c>
      <c r="AG146" s="42">
        <v>91.057991027832031</v>
      </c>
      <c r="AH146" s="42">
        <v>81.982559204101562</v>
      </c>
      <c r="AI146" s="42">
        <v>82.554397583007812</v>
      </c>
      <c r="AJ146" s="42">
        <v>29.318378448486332</v>
      </c>
      <c r="AK146" s="42">
        <v>11.310000419616699</v>
      </c>
      <c r="AL146" s="42">
        <v>45.491909027099609</v>
      </c>
      <c r="AM146" s="42">
        <v>144.75294494628909</v>
      </c>
      <c r="AN146" s="42">
        <v>299.6201171875</v>
      </c>
      <c r="AO146" s="42">
        <v>18.85000038146973</v>
      </c>
      <c r="AP146" s="42">
        <v>147.039306640625</v>
      </c>
      <c r="AQ146" s="42">
        <v>53.034824371337891</v>
      </c>
      <c r="AR146" s="42">
        <v>164.65037536621091</v>
      </c>
      <c r="AS146" s="42">
        <v>625.61627197265625</v>
      </c>
      <c r="AT146" s="42">
        <v>337.0950927734375</v>
      </c>
      <c r="AU146" s="42">
        <v>70.886947631835938</v>
      </c>
      <c r="AV146" s="42">
        <v>164.5859680175781</v>
      </c>
      <c r="AW146" s="42">
        <v>463.08343505859381</v>
      </c>
      <c r="AX146" s="42">
        <v>226.15367126464841</v>
      </c>
      <c r="AY146" s="42">
        <v>45.488395690917969</v>
      </c>
      <c r="AZ146" s="42">
        <v>4766.18017578125</v>
      </c>
    </row>
    <row r="147" spans="1:52" ht="16" x14ac:dyDescent="0.2">
      <c r="A147" s="39">
        <v>44562</v>
      </c>
      <c r="B147" s="40">
        <v>170.72416687011719</v>
      </c>
      <c r="C147" s="40">
        <v>116.5046005249023</v>
      </c>
      <c r="D147" s="40">
        <v>534.29998779296875</v>
      </c>
      <c r="E147" s="40">
        <v>79.830001831054688</v>
      </c>
      <c r="F147" s="40">
        <v>196.0444641113281</v>
      </c>
      <c r="G147" s="40">
        <v>149.57350158691409</v>
      </c>
      <c r="H147" s="40">
        <v>186.87428283691409</v>
      </c>
      <c r="I147" s="40">
        <v>40.179924011230469</v>
      </c>
      <c r="J147" s="40">
        <v>479.47235107421881</v>
      </c>
      <c r="K147" s="40">
        <v>49.021083831787109</v>
      </c>
      <c r="L147" s="40">
        <v>108.7173309326172</v>
      </c>
      <c r="M147" s="40">
        <v>138.6184387207031</v>
      </c>
      <c r="N147" s="40">
        <v>179.98509216308591</v>
      </c>
      <c r="O147" s="40">
        <v>83.732513427734375</v>
      </c>
      <c r="P147" s="40">
        <v>91.159141540527344</v>
      </c>
      <c r="Q147" s="40">
        <v>18.10000038146973</v>
      </c>
      <c r="R147" s="40">
        <v>207.6199951171875</v>
      </c>
      <c r="S147" s="40">
        <v>193.2021789550781</v>
      </c>
      <c r="T147" s="40">
        <v>57.566257476806641</v>
      </c>
      <c r="U147" s="40">
        <v>134.02812194824219</v>
      </c>
      <c r="V147" s="40">
        <v>315.86123657226562</v>
      </c>
      <c r="W147" s="40">
        <v>324.63815307617188</v>
      </c>
      <c r="X147" s="40">
        <v>74.330001831054688</v>
      </c>
      <c r="Y147" s="40">
        <v>150.818115234375</v>
      </c>
      <c r="Z147" s="40">
        <v>132.70648193359381</v>
      </c>
      <c r="AA147" s="40">
        <v>53.429920196533203</v>
      </c>
      <c r="AB147" s="40">
        <v>119.823127746582</v>
      </c>
      <c r="AC147" s="40">
        <v>232.203369140625</v>
      </c>
      <c r="AD147" s="40">
        <v>89.485404968261719</v>
      </c>
      <c r="AE147" s="40">
        <v>88.664764404296875</v>
      </c>
      <c r="AF147" s="40">
        <v>299.00204467773438</v>
      </c>
      <c r="AG147" s="40">
        <v>80.422332763671875</v>
      </c>
      <c r="AH147" s="40">
        <v>68.599800109863281</v>
      </c>
      <c r="AI147" s="40">
        <v>78.0577392578125</v>
      </c>
      <c r="AJ147" s="40">
        <v>24.40888595581055</v>
      </c>
      <c r="AK147" s="40">
        <v>13.02999973297119</v>
      </c>
      <c r="AL147" s="40">
        <v>47.71990966796875</v>
      </c>
      <c r="AM147" s="40">
        <v>142.74981689453119</v>
      </c>
      <c r="AN147" s="40">
        <v>291.981689453125</v>
      </c>
      <c r="AO147" s="40">
        <v>17.879999160766602</v>
      </c>
      <c r="AP147" s="40">
        <v>136.9607238769531</v>
      </c>
      <c r="AQ147" s="40">
        <v>45.248905181884773</v>
      </c>
      <c r="AR147" s="40">
        <v>158.248779296875</v>
      </c>
      <c r="AS147" s="40">
        <v>602.900634765625</v>
      </c>
      <c r="AT147" s="40">
        <v>274.25360107421881</v>
      </c>
      <c r="AU147" s="40">
        <v>67.198814392089844</v>
      </c>
      <c r="AV147" s="40">
        <v>157.781982421875</v>
      </c>
      <c r="AW147" s="40">
        <v>435.8133544921875</v>
      </c>
      <c r="AX147" s="40">
        <v>219.52876281738281</v>
      </c>
      <c r="AY147" s="40">
        <v>43.954193115234382</v>
      </c>
      <c r="AZ147" s="40">
        <v>4515.5498046875</v>
      </c>
    </row>
    <row r="148" spans="1:52" ht="16" x14ac:dyDescent="0.2">
      <c r="A148" s="41">
        <v>44593</v>
      </c>
      <c r="B148" s="42">
        <v>161.4938049316406</v>
      </c>
      <c r="C148" s="42">
        <v>110.2524795532227</v>
      </c>
      <c r="D148" s="42">
        <v>467.67999267578119</v>
      </c>
      <c r="E148" s="42">
        <v>85.040000915527344</v>
      </c>
      <c r="F148" s="42">
        <v>197.15080261230469</v>
      </c>
      <c r="G148" s="42">
        <v>153.56300354003909</v>
      </c>
      <c r="H148" s="42">
        <v>173.91288757324219</v>
      </c>
      <c r="I148" s="42">
        <v>37.583774566650391</v>
      </c>
      <c r="J148" s="42">
        <v>493.62203979492188</v>
      </c>
      <c r="K148" s="42">
        <v>49.109138488769531</v>
      </c>
      <c r="L148" s="42">
        <v>120.4573287963867</v>
      </c>
      <c r="M148" s="42">
        <v>143.9413757324219</v>
      </c>
      <c r="N148" s="42">
        <v>167.45405578613281</v>
      </c>
      <c r="O148" s="42">
        <v>85.060882568359375</v>
      </c>
      <c r="P148" s="42">
        <v>93.972084045410156</v>
      </c>
      <c r="Q148" s="42">
        <v>20.530000686645511</v>
      </c>
      <c r="R148" s="42">
        <v>200.8500061035156</v>
      </c>
      <c r="S148" s="42">
        <v>213.5608215332031</v>
      </c>
      <c r="T148" s="42">
        <v>58.193828582763672</v>
      </c>
      <c r="U148" s="42">
        <v>133.7839660644531</v>
      </c>
      <c r="V148" s="42">
        <v>303.93673706054688</v>
      </c>
      <c r="W148" s="42">
        <v>279.3897705078125</v>
      </c>
      <c r="X148" s="42">
        <v>68.300003051757812</v>
      </c>
      <c r="Y148" s="42">
        <v>144.9850158691406</v>
      </c>
      <c r="Z148" s="42">
        <v>126.6337814331055</v>
      </c>
      <c r="AA148" s="42">
        <v>54.507091522216797</v>
      </c>
      <c r="AB148" s="42">
        <v>124.8533630371094</v>
      </c>
      <c r="AC148" s="42">
        <v>220.2835998535156</v>
      </c>
      <c r="AD148" s="42">
        <v>90.782394409179688</v>
      </c>
      <c r="AE148" s="42">
        <v>78.46148681640625</v>
      </c>
      <c r="AF148" s="42">
        <v>287.8756103515625</v>
      </c>
      <c r="AG148" s="42">
        <v>86.864341735839844</v>
      </c>
      <c r="AH148" s="42">
        <v>69.112190246582031</v>
      </c>
      <c r="AI148" s="42">
        <v>70.722084045410156</v>
      </c>
      <c r="AJ148" s="42">
        <v>24.308206558227539</v>
      </c>
      <c r="AK148" s="42">
        <v>14.64000034332275</v>
      </c>
      <c r="AL148" s="42">
        <v>51.353168487548828</v>
      </c>
      <c r="AM148" s="42">
        <v>138.69288635253909</v>
      </c>
      <c r="AN148" s="42">
        <v>280.07174682617188</v>
      </c>
      <c r="AO148" s="42">
        <v>18.420000076293949</v>
      </c>
      <c r="AP148" s="42">
        <v>127.37994384765619</v>
      </c>
      <c r="AQ148" s="42">
        <v>46.164314270019531</v>
      </c>
      <c r="AR148" s="42">
        <v>154.85438537597659</v>
      </c>
      <c r="AS148" s="42">
        <v>612.57928466796875</v>
      </c>
      <c r="AT148" s="42">
        <v>252.45869445800781</v>
      </c>
      <c r="AU148" s="42">
        <v>61.94659423828125</v>
      </c>
      <c r="AV148" s="42">
        <v>149.43092346191409</v>
      </c>
      <c r="AW148" s="42">
        <v>438.85665893554688</v>
      </c>
      <c r="AX148" s="42">
        <v>221.866943359375</v>
      </c>
      <c r="AY148" s="42">
        <v>42.492305755615227</v>
      </c>
      <c r="AZ148" s="42">
        <v>4373.93994140625</v>
      </c>
    </row>
    <row r="149" spans="1:52" ht="16" x14ac:dyDescent="0.2">
      <c r="A149" s="39">
        <v>44621</v>
      </c>
      <c r="B149" s="40">
        <v>170.77543640136719</v>
      </c>
      <c r="C149" s="40">
        <v>108.18674468994141</v>
      </c>
      <c r="D149" s="40">
        <v>455.6199951171875</v>
      </c>
      <c r="E149" s="40">
        <v>93.290000915527344</v>
      </c>
      <c r="F149" s="40">
        <v>210.5043029785156</v>
      </c>
      <c r="G149" s="40">
        <v>162.99749755859381</v>
      </c>
      <c r="H149" s="40">
        <v>206.58528137207031</v>
      </c>
      <c r="I149" s="40">
        <v>37.631992340087891</v>
      </c>
      <c r="J149" s="40">
        <v>547.428466796875</v>
      </c>
      <c r="K149" s="40">
        <v>49.100326538085938</v>
      </c>
      <c r="L149" s="40">
        <v>136.20881652832031</v>
      </c>
      <c r="M149" s="40">
        <v>132.98529052734381</v>
      </c>
      <c r="N149" s="40">
        <v>168.27931213378909</v>
      </c>
      <c r="O149" s="40">
        <v>89.757026672363281</v>
      </c>
      <c r="P149" s="40">
        <v>98.339263916015625</v>
      </c>
      <c r="Q149" s="40">
        <v>22.670000076293949</v>
      </c>
      <c r="R149" s="40">
        <v>208.94999694824219</v>
      </c>
      <c r="S149" s="40">
        <v>219.6911926269531</v>
      </c>
      <c r="T149" s="40">
        <v>55.800643920898438</v>
      </c>
      <c r="U149" s="40">
        <v>137.7566833496094</v>
      </c>
      <c r="V149" s="40">
        <v>295.704345703125</v>
      </c>
      <c r="W149" s="40">
        <v>266.3914794921875</v>
      </c>
      <c r="X149" s="40">
        <v>79.419998168945312</v>
      </c>
      <c r="Y149" s="40">
        <v>156.13836669921881</v>
      </c>
      <c r="Z149" s="40">
        <v>121.7398681640625</v>
      </c>
      <c r="AA149" s="40">
        <v>54.712554931640618</v>
      </c>
      <c r="AB149" s="40">
        <v>149.4034118652344</v>
      </c>
      <c r="AC149" s="40">
        <v>222.54248046875</v>
      </c>
      <c r="AD149" s="40">
        <v>96.508583068847656</v>
      </c>
      <c r="AE149" s="40">
        <v>75.573440551757812</v>
      </c>
      <c r="AF149" s="40">
        <v>297.04776000976562</v>
      </c>
      <c r="AG149" s="40">
        <v>76.140708923339844</v>
      </c>
      <c r="AH149" s="40">
        <v>74.798698425292969</v>
      </c>
      <c r="AI149" s="40">
        <v>74.89068603515625</v>
      </c>
      <c r="AJ149" s="40">
        <v>27.204710006713871</v>
      </c>
      <c r="AK149" s="40">
        <v>15.159999847412109</v>
      </c>
      <c r="AL149" s="40">
        <v>55.544765472412109</v>
      </c>
      <c r="AM149" s="40">
        <v>135.9437561035156</v>
      </c>
      <c r="AN149" s="40">
        <v>268.13714599609381</v>
      </c>
      <c r="AO149" s="40">
        <v>16.969999313354489</v>
      </c>
      <c r="AP149" s="40">
        <v>141.75514221191409</v>
      </c>
      <c r="AQ149" s="40">
        <v>55.180629730224609</v>
      </c>
      <c r="AR149" s="40">
        <v>138.16831970214841</v>
      </c>
      <c r="AS149" s="40">
        <v>691.8907470703125</v>
      </c>
      <c r="AT149" s="40">
        <v>239.49659729003909</v>
      </c>
      <c r="AU149" s="40">
        <v>56.773471832275391</v>
      </c>
      <c r="AV149" s="40">
        <v>161.28936767578119</v>
      </c>
      <c r="AW149" s="40">
        <v>471.69619750976562</v>
      </c>
      <c r="AX149" s="40">
        <v>246.45768737792969</v>
      </c>
      <c r="AY149" s="40">
        <v>46.999313354492188</v>
      </c>
      <c r="AZ149" s="40">
        <v>4530.41015625</v>
      </c>
    </row>
    <row r="150" spans="1:52" ht="16" x14ac:dyDescent="0.2">
      <c r="A150" s="41">
        <v>44652</v>
      </c>
      <c r="B150" s="42">
        <v>154.18791198730469</v>
      </c>
      <c r="C150" s="42">
        <v>104.1579666137695</v>
      </c>
      <c r="D150" s="42">
        <v>395.95001220703119</v>
      </c>
      <c r="E150" s="42">
        <v>84.279998779296875</v>
      </c>
      <c r="F150" s="42">
        <v>202.9919128417969</v>
      </c>
      <c r="G150" s="42">
        <v>124.2815017700195</v>
      </c>
      <c r="H150" s="42">
        <v>196.13609313964841</v>
      </c>
      <c r="I150" s="42">
        <v>32.137821197509773</v>
      </c>
      <c r="J150" s="42">
        <v>506.29904174804688</v>
      </c>
      <c r="K150" s="42">
        <v>43.425457000732422</v>
      </c>
      <c r="L150" s="42">
        <v>131.05592346191409</v>
      </c>
      <c r="M150" s="42">
        <v>108.2323379516602</v>
      </c>
      <c r="N150" s="42">
        <v>161.39793395996091</v>
      </c>
      <c r="O150" s="42">
        <v>82.552642822265625</v>
      </c>
      <c r="P150" s="42">
        <v>96.885360717773438</v>
      </c>
      <c r="Q150" s="42">
        <v>22.340000152587891</v>
      </c>
      <c r="R150" s="42">
        <v>167.4100036621094</v>
      </c>
      <c r="S150" s="42">
        <v>216.58897399902341</v>
      </c>
      <c r="T150" s="42">
        <v>45.463794708251953</v>
      </c>
      <c r="U150" s="42">
        <v>113.0338973999023</v>
      </c>
      <c r="V150" s="42">
        <v>273.65853881835938</v>
      </c>
      <c r="W150" s="42">
        <v>267.34378051757812</v>
      </c>
      <c r="X150" s="42">
        <v>74.959999084472656</v>
      </c>
      <c r="Y150" s="42">
        <v>158.98396301269531</v>
      </c>
      <c r="Z150" s="42">
        <v>107.3839569091797</v>
      </c>
      <c r="AA150" s="42">
        <v>57.015781402587891</v>
      </c>
      <c r="AB150" s="42">
        <v>128.60246276855469</v>
      </c>
      <c r="AC150" s="42">
        <v>224.23445129394531</v>
      </c>
      <c r="AD150" s="42">
        <v>90.776344299316406</v>
      </c>
      <c r="AE150" s="42">
        <v>70.283378601074219</v>
      </c>
      <c r="AF150" s="42">
        <v>267.38253784179688</v>
      </c>
      <c r="AG150" s="42">
        <v>66.749641418457031</v>
      </c>
      <c r="AH150" s="42">
        <v>62.710456848144531</v>
      </c>
      <c r="AI150" s="42">
        <v>66.509963989257812</v>
      </c>
      <c r="AJ150" s="42">
        <v>18.491743087768551</v>
      </c>
      <c r="AK150" s="42">
        <v>11.329999923706049</v>
      </c>
      <c r="AL150" s="42">
        <v>50.509632110595703</v>
      </c>
      <c r="AM150" s="42">
        <v>143.64018249511719</v>
      </c>
      <c r="AN150" s="42">
        <v>255.9095458984375</v>
      </c>
      <c r="AO150" s="42">
        <v>14.989999771118161</v>
      </c>
      <c r="AP150" s="42">
        <v>140.71046447753909</v>
      </c>
      <c r="AQ150" s="42">
        <v>55.594039916992188</v>
      </c>
      <c r="AR150" s="42">
        <v>126.2971572875977</v>
      </c>
      <c r="AS150" s="42">
        <v>652.94830322265625</v>
      </c>
      <c r="AT150" s="42">
        <v>263.80886840820312</v>
      </c>
      <c r="AU150" s="42">
        <v>57.429470062255859</v>
      </c>
      <c r="AV150" s="42">
        <v>149.65943908691409</v>
      </c>
      <c r="AW150" s="42">
        <v>470.38272094726562</v>
      </c>
      <c r="AX150" s="42">
        <v>211.34869384765619</v>
      </c>
      <c r="AY150" s="42">
        <v>48.2838134765625</v>
      </c>
      <c r="AZ150" s="42">
        <v>4131.93017578125</v>
      </c>
    </row>
    <row r="151" spans="1:52" ht="16" x14ac:dyDescent="0.2">
      <c r="A151" s="39">
        <v>44682</v>
      </c>
      <c r="B151" s="40">
        <v>145.78520202636719</v>
      </c>
      <c r="C151" s="40">
        <v>107.79201507568359</v>
      </c>
      <c r="D151" s="40">
        <v>416.48001098632812</v>
      </c>
      <c r="E151" s="40">
        <v>83.5</v>
      </c>
      <c r="F151" s="40">
        <v>225.28778076171881</v>
      </c>
      <c r="G151" s="40">
        <v>120.2095031738281</v>
      </c>
      <c r="H151" s="40">
        <v>201.08282470703119</v>
      </c>
      <c r="I151" s="40">
        <v>35.79132080078125</v>
      </c>
      <c r="J151" s="40">
        <v>443.93045043945312</v>
      </c>
      <c r="K151" s="40">
        <v>39.941139221191413</v>
      </c>
      <c r="L151" s="40">
        <v>147.30668640136719</v>
      </c>
      <c r="M151" s="40">
        <v>107.0785598754883</v>
      </c>
      <c r="N151" s="40">
        <v>156.22261047363281</v>
      </c>
      <c r="O151" s="40">
        <v>81.667160034179688</v>
      </c>
      <c r="P151" s="40">
        <v>113.64699554443359</v>
      </c>
      <c r="Q151" s="40">
        <v>18.329999923706051</v>
      </c>
      <c r="R151" s="40">
        <v>163.03999328613281</v>
      </c>
      <c r="S151" s="40">
        <v>205.94865417480469</v>
      </c>
      <c r="T151" s="40">
        <v>47.744602203369141</v>
      </c>
      <c r="U151" s="40">
        <v>112.68968200683589</v>
      </c>
      <c r="V151" s="40">
        <v>294.58602905273438</v>
      </c>
      <c r="W151" s="40">
        <v>269.43511962890619</v>
      </c>
      <c r="X151" s="40">
        <v>75.889999389648438</v>
      </c>
      <c r="Y151" s="40">
        <v>159.1809997558594</v>
      </c>
      <c r="Z151" s="40">
        <v>118.9626388549805</v>
      </c>
      <c r="AA151" s="40">
        <v>55.930351257324219</v>
      </c>
      <c r="AB151" s="40">
        <v>120.2078018188477</v>
      </c>
      <c r="AC151" s="40">
        <v>226.97929382324219</v>
      </c>
      <c r="AD151" s="40">
        <v>87.114326477050781</v>
      </c>
      <c r="AE151" s="40">
        <v>75.123588562011719</v>
      </c>
      <c r="AF151" s="40">
        <v>262.54901123046881</v>
      </c>
      <c r="AG151" s="40">
        <v>72.280303955078125</v>
      </c>
      <c r="AH151" s="40">
        <v>67.214729309082031</v>
      </c>
      <c r="AI151" s="40">
        <v>65.32958984375</v>
      </c>
      <c r="AJ151" s="40">
        <v>18.61636924743652</v>
      </c>
      <c r="AK151" s="40">
        <v>12.72000026702881</v>
      </c>
      <c r="AL151" s="40">
        <v>52.519489288330078</v>
      </c>
      <c r="AM151" s="40">
        <v>132.30467224121091</v>
      </c>
      <c r="AN151" s="40">
        <v>258.4830322265625</v>
      </c>
      <c r="AO151" s="40">
        <v>21.739999771118161</v>
      </c>
      <c r="AP151" s="40">
        <v>111.9082489013672</v>
      </c>
      <c r="AQ151" s="40">
        <v>55.849964141845703</v>
      </c>
      <c r="AR151" s="40">
        <v>129.4886779785156</v>
      </c>
      <c r="AS151" s="40">
        <v>658.52569580078125</v>
      </c>
      <c r="AT151" s="40">
        <v>257.76513671875</v>
      </c>
      <c r="AU151" s="40">
        <v>59.88995361328125</v>
      </c>
      <c r="AV151" s="40">
        <v>156.43865966796881</v>
      </c>
      <c r="AW151" s="40">
        <v>459.49606323242188</v>
      </c>
      <c r="AX151" s="40">
        <v>199.4310607910156</v>
      </c>
      <c r="AY151" s="40">
        <v>40.743335723876953</v>
      </c>
      <c r="AZ151" s="40">
        <v>4132.14990234375</v>
      </c>
    </row>
    <row r="152" spans="1:52" ht="16" x14ac:dyDescent="0.2">
      <c r="A152" s="41">
        <v>44713</v>
      </c>
      <c r="B152" s="42">
        <v>133.91398620605469</v>
      </c>
      <c r="C152" s="42">
        <v>99.707160949707031</v>
      </c>
      <c r="D152" s="42">
        <v>366.05999755859381</v>
      </c>
      <c r="E152" s="42">
        <v>83.279998779296875</v>
      </c>
      <c r="F152" s="42">
        <v>213.49427795410159</v>
      </c>
      <c r="G152" s="42">
        <v>106.2099990844727</v>
      </c>
      <c r="H152" s="42">
        <v>166.5302734375</v>
      </c>
      <c r="I152" s="42">
        <v>31.717512130737301</v>
      </c>
      <c r="J152" s="42">
        <v>456.36614990234381</v>
      </c>
      <c r="K152" s="42">
        <v>37.804443359375</v>
      </c>
      <c r="L152" s="42">
        <v>122.1061553955078</v>
      </c>
      <c r="M152" s="42">
        <v>91.526771545410156</v>
      </c>
      <c r="N152" s="42">
        <v>147.06367492675781</v>
      </c>
      <c r="O152" s="42">
        <v>73.266471862792969</v>
      </c>
      <c r="P152" s="42">
        <v>92.901008605957031</v>
      </c>
      <c r="Q152" s="42">
        <v>20.819999694824219</v>
      </c>
      <c r="R152" s="42">
        <v>153.03999328613281</v>
      </c>
      <c r="S152" s="42">
        <v>203.76806640625</v>
      </c>
      <c r="T152" s="42">
        <v>38.875064849853523</v>
      </c>
      <c r="U152" s="42">
        <v>107.9359130859375</v>
      </c>
      <c r="V152" s="42">
        <v>267.70059204101562</v>
      </c>
      <c r="W152" s="42">
        <v>245.63066101074219</v>
      </c>
      <c r="X152" s="42">
        <v>75.970001220703125</v>
      </c>
      <c r="Y152" s="42">
        <v>157.38993835449219</v>
      </c>
      <c r="Z152" s="42">
        <v>101.3112030029297</v>
      </c>
      <c r="AA152" s="42">
        <v>55.91668701171875</v>
      </c>
      <c r="AB152" s="42">
        <v>126.7143096923828</v>
      </c>
      <c r="AC152" s="42">
        <v>223.41392517089841</v>
      </c>
      <c r="AD152" s="42">
        <v>78.667404174804688</v>
      </c>
      <c r="AE152" s="42">
        <v>66.332725524902344</v>
      </c>
      <c r="AF152" s="42">
        <v>248.02461242675781</v>
      </c>
      <c r="AG152" s="42">
        <v>54.112327575683587</v>
      </c>
      <c r="AH152" s="42">
        <v>68.786552429199219</v>
      </c>
      <c r="AI152" s="42">
        <v>59.236995697021477</v>
      </c>
      <c r="AJ152" s="42">
        <v>15.11703300476074</v>
      </c>
      <c r="AK152" s="42">
        <v>10.680000305175779</v>
      </c>
      <c r="AL152" s="42">
        <v>44.264724731445312</v>
      </c>
      <c r="AM152" s="42">
        <v>128.64540100097659</v>
      </c>
      <c r="AN152" s="42">
        <v>233.6766052246094</v>
      </c>
      <c r="AO152" s="42">
        <v>19.479999542236332</v>
      </c>
      <c r="AP152" s="42">
        <v>104.0216064453125</v>
      </c>
      <c r="AQ152" s="42">
        <v>52.2867431640625</v>
      </c>
      <c r="AR152" s="42">
        <v>116.1008377075195</v>
      </c>
      <c r="AS152" s="42">
        <v>585.60382080078125</v>
      </c>
      <c r="AT152" s="42">
        <v>215.32684326171881</v>
      </c>
      <c r="AU152" s="42">
        <v>52.616859436035163</v>
      </c>
      <c r="AV152" s="42">
        <v>135.98548889160159</v>
      </c>
      <c r="AW152" s="42">
        <v>476.77569580078119</v>
      </c>
      <c r="AX152" s="42">
        <v>193.53285217285159</v>
      </c>
      <c r="AY152" s="42">
        <v>38.510265350341797</v>
      </c>
      <c r="AZ152" s="42">
        <v>3785.3798828125</v>
      </c>
    </row>
    <row r="153" spans="1:52" ht="16" x14ac:dyDescent="0.2">
      <c r="A153" s="39">
        <v>44743</v>
      </c>
      <c r="B153" s="40">
        <v>159.17463684082031</v>
      </c>
      <c r="C153" s="40">
        <v>100.3254699707031</v>
      </c>
      <c r="D153" s="40">
        <v>410.1199951171875</v>
      </c>
      <c r="E153" s="40">
        <v>92.80999755859375</v>
      </c>
      <c r="F153" s="40">
        <v>217.15345764160159</v>
      </c>
      <c r="G153" s="40">
        <v>134.94999694824219</v>
      </c>
      <c r="H153" s="40">
        <v>185.9732360839844</v>
      </c>
      <c r="I153" s="40">
        <v>30.531843185424801</v>
      </c>
      <c r="J153" s="40">
        <v>516.3106689453125</v>
      </c>
      <c r="K153" s="40">
        <v>40.586883544921882</v>
      </c>
      <c r="L153" s="40">
        <v>138.13053894042969</v>
      </c>
      <c r="M153" s="40">
        <v>102.8706512451172</v>
      </c>
      <c r="N153" s="40">
        <v>157.97676086425781</v>
      </c>
      <c r="O153" s="40">
        <v>82.965934753417969</v>
      </c>
      <c r="P153" s="40">
        <v>94.268478393554688</v>
      </c>
      <c r="Q153" s="40">
        <v>20.920000076293949</v>
      </c>
      <c r="R153" s="40">
        <v>167.36000061035159</v>
      </c>
      <c r="S153" s="40">
        <v>208.75982666015619</v>
      </c>
      <c r="T153" s="40">
        <v>45.127307891845703</v>
      </c>
      <c r="U153" s="40">
        <v>115.2235565185547</v>
      </c>
      <c r="V153" s="40">
        <v>300.48046875</v>
      </c>
      <c r="W153" s="40">
        <v>269.5157470703125</v>
      </c>
      <c r="X153" s="40">
        <v>77.680000305175781</v>
      </c>
      <c r="Y153" s="40">
        <v>154.73887634277341</v>
      </c>
      <c r="Z153" s="40">
        <v>104.7033309936523</v>
      </c>
      <c r="AA153" s="40">
        <v>57.036617279052727</v>
      </c>
      <c r="AB153" s="40">
        <v>146.88249206542969</v>
      </c>
      <c r="AC153" s="40">
        <v>238.33653259277341</v>
      </c>
      <c r="AD153" s="40">
        <v>81.0953369140625</v>
      </c>
      <c r="AE153" s="40">
        <v>74.216011047363281</v>
      </c>
      <c r="AF153" s="40">
        <v>271.1148681640625</v>
      </c>
      <c r="AG153" s="40">
        <v>60.671905517578118</v>
      </c>
      <c r="AH153" s="40">
        <v>75.029365539550781</v>
      </c>
      <c r="AI153" s="40">
        <v>65.282058715820312</v>
      </c>
      <c r="AJ153" s="40">
        <v>18.11271858215332</v>
      </c>
      <c r="AK153" s="40">
        <v>10.61999988555908</v>
      </c>
      <c r="AL153" s="40">
        <v>48.395927429199219</v>
      </c>
      <c r="AM153" s="40">
        <v>125.08619689941411</v>
      </c>
      <c r="AN153" s="40">
        <v>274.55224609375</v>
      </c>
      <c r="AO153" s="40">
        <v>23.809999465942379</v>
      </c>
      <c r="AP153" s="40">
        <v>117.2044219970703</v>
      </c>
      <c r="AQ153" s="40">
        <v>54.698314666748047</v>
      </c>
      <c r="AR153" s="40">
        <v>131.84271240234381</v>
      </c>
      <c r="AS153" s="40">
        <v>576.2520751953125</v>
      </c>
      <c r="AT153" s="40">
        <v>232.66566467285159</v>
      </c>
      <c r="AU153" s="40">
        <v>57.619472503662109</v>
      </c>
      <c r="AV153" s="40">
        <v>159.3665771484375</v>
      </c>
      <c r="AW153" s="40">
        <v>503.42568969726562</v>
      </c>
      <c r="AX153" s="40">
        <v>206.25480651855469</v>
      </c>
      <c r="AY153" s="40">
        <v>41.826618194580078</v>
      </c>
      <c r="AZ153" s="40">
        <v>4130.2900390625</v>
      </c>
    </row>
    <row r="154" spans="1:52" ht="16" x14ac:dyDescent="0.2">
      <c r="A154" s="41">
        <v>44774</v>
      </c>
      <c r="B154" s="42">
        <v>154.20716857910159</v>
      </c>
      <c r="C154" s="42">
        <v>94.619728088378906</v>
      </c>
      <c r="D154" s="42">
        <v>373.44000244140619</v>
      </c>
      <c r="E154" s="42">
        <v>89.220001220703125</v>
      </c>
      <c r="F154" s="42">
        <v>212.49018859863281</v>
      </c>
      <c r="G154" s="42">
        <v>126.76999664306641</v>
      </c>
      <c r="H154" s="42">
        <v>173.27174377441409</v>
      </c>
      <c r="I154" s="42">
        <v>29.449565887451168</v>
      </c>
      <c r="J154" s="42">
        <v>497.99700927734381</v>
      </c>
      <c r="K154" s="42">
        <v>40.005413055419922</v>
      </c>
      <c r="L154" s="42">
        <v>134.51762390136719</v>
      </c>
      <c r="M154" s="42">
        <v>108.6686553955078</v>
      </c>
      <c r="N154" s="42">
        <v>156.69512939453119</v>
      </c>
      <c r="O154" s="42">
        <v>75.738510131835938</v>
      </c>
      <c r="P154" s="42">
        <v>102.8121337890625</v>
      </c>
      <c r="Q154" s="42">
        <v>17.739999771118161</v>
      </c>
      <c r="R154" s="42">
        <v>157.05999755859381</v>
      </c>
      <c r="S154" s="42">
        <v>210.84120178222659</v>
      </c>
      <c r="T154" s="42">
        <v>44.840339660644531</v>
      </c>
      <c r="U154" s="42">
        <v>107.1999206542969</v>
      </c>
      <c r="V154" s="42">
        <v>302.09527587890619</v>
      </c>
      <c r="W154" s="42">
        <v>259.98843383789062</v>
      </c>
      <c r="X154" s="42">
        <v>70.430000305175781</v>
      </c>
      <c r="Y154" s="42">
        <v>144.01393127441409</v>
      </c>
      <c r="Z154" s="42">
        <v>103.2239227294922</v>
      </c>
      <c r="AA154" s="42">
        <v>54.850078582763672</v>
      </c>
      <c r="AB154" s="42">
        <v>153.29881286621091</v>
      </c>
      <c r="AC154" s="42">
        <v>229.55027770996091</v>
      </c>
      <c r="AD154" s="42">
        <v>77.063346862792969</v>
      </c>
      <c r="AE154" s="42">
        <v>75.025962829589844</v>
      </c>
      <c r="AF154" s="42">
        <v>253.04150390625</v>
      </c>
      <c r="AG154" s="42">
        <v>55.44427490234375</v>
      </c>
      <c r="AH154" s="42">
        <v>75.901870727539062</v>
      </c>
      <c r="AI154" s="42">
        <v>66.014205932617188</v>
      </c>
      <c r="AJ154" s="42">
        <v>15.052211761474609</v>
      </c>
      <c r="AK154" s="42">
        <v>8.8500003814697266</v>
      </c>
      <c r="AL154" s="42">
        <v>49.602996826171882</v>
      </c>
      <c r="AM154" s="42">
        <v>124.2127227783203</v>
      </c>
      <c r="AN154" s="42">
        <v>252.8236999511719</v>
      </c>
      <c r="AO154" s="42">
        <v>16.79999923706055</v>
      </c>
      <c r="AP154" s="42">
        <v>110.08692932128911</v>
      </c>
      <c r="AQ154" s="42">
        <v>46.380863189697273</v>
      </c>
      <c r="AR154" s="42">
        <v>120.8926696777344</v>
      </c>
      <c r="AS154" s="42">
        <v>575.62799072265625</v>
      </c>
      <c r="AT154" s="42">
        <v>223.73670959472659</v>
      </c>
      <c r="AU154" s="42">
        <v>59.018253326416023</v>
      </c>
      <c r="AV154" s="42">
        <v>147.1795654296875</v>
      </c>
      <c r="AW154" s="42">
        <v>482.06671142578119</v>
      </c>
      <c r="AX154" s="42">
        <v>204.8690490722656</v>
      </c>
      <c r="AY154" s="42">
        <v>42.167850494384773</v>
      </c>
      <c r="AZ154" s="42">
        <v>3955</v>
      </c>
    </row>
    <row r="155" spans="1:52" ht="16" x14ac:dyDescent="0.2">
      <c r="A155" s="39">
        <v>44805</v>
      </c>
      <c r="B155" s="40">
        <v>135.55165100097659</v>
      </c>
      <c r="C155" s="40">
        <v>89.190505981445312</v>
      </c>
      <c r="D155" s="40">
        <v>275.20001220703119</v>
      </c>
      <c r="E155" s="40">
        <v>95.239997863769531</v>
      </c>
      <c r="F155" s="40">
        <v>199.31459045410159</v>
      </c>
      <c r="G155" s="40">
        <v>113</v>
      </c>
      <c r="H155" s="40">
        <v>153.91923522949219</v>
      </c>
      <c r="I155" s="40">
        <v>23.867250442504879</v>
      </c>
      <c r="J155" s="40">
        <v>450.46746826171881</v>
      </c>
      <c r="K155" s="40">
        <v>35.783012390136719</v>
      </c>
      <c r="L155" s="40">
        <v>122.2709884643555</v>
      </c>
      <c r="M155" s="40">
        <v>91.458900451660156</v>
      </c>
      <c r="N155" s="40">
        <v>138.57879638671881</v>
      </c>
      <c r="O155" s="40">
        <v>67.844062805175781</v>
      </c>
      <c r="P155" s="40">
        <v>95.870758056640625</v>
      </c>
      <c r="Q155" s="40">
        <v>15.680000305175779</v>
      </c>
      <c r="R155" s="40">
        <v>144.72999572753909</v>
      </c>
      <c r="S155" s="40">
        <v>195.40550231933591</v>
      </c>
      <c r="T155" s="40">
        <v>37.847362518310547</v>
      </c>
      <c r="U155" s="40">
        <v>94.748405456542969</v>
      </c>
      <c r="V155" s="40">
        <v>266.11654663085938</v>
      </c>
      <c r="W155" s="40">
        <v>248.73866271972659</v>
      </c>
      <c r="X155" s="40">
        <v>66.639999389648438</v>
      </c>
      <c r="Y155" s="40">
        <v>145.81703186035159</v>
      </c>
      <c r="Z155" s="40">
        <v>94.846542358398438</v>
      </c>
      <c r="AA155" s="40">
        <v>50.155635833740227</v>
      </c>
      <c r="AB155" s="40">
        <v>136.97090148925781</v>
      </c>
      <c r="AC155" s="40">
        <v>209.9510192871094</v>
      </c>
      <c r="AD155" s="40">
        <v>71.344635009765625</v>
      </c>
      <c r="AE155" s="40">
        <v>69.558792114257812</v>
      </c>
      <c r="AF155" s="40">
        <v>225.3924865722656</v>
      </c>
      <c r="AG155" s="40">
        <v>49.137771606445312</v>
      </c>
      <c r="AH155" s="40">
        <v>69.967864990234375</v>
      </c>
      <c r="AI155" s="40">
        <v>56.605831146240227</v>
      </c>
      <c r="AJ155" s="40">
        <v>12.108987808227541</v>
      </c>
      <c r="AK155" s="40">
        <v>7.9600000381469727</v>
      </c>
      <c r="AL155" s="40">
        <v>41.510005950927727</v>
      </c>
      <c r="AM155" s="40">
        <v>113.6860733032227</v>
      </c>
      <c r="AN155" s="40">
        <v>231.17628479003909</v>
      </c>
      <c r="AO155" s="40">
        <v>14.61999988555908</v>
      </c>
      <c r="AP155" s="40">
        <v>90.401771545410156</v>
      </c>
      <c r="AQ155" s="40">
        <v>40.888393402099609</v>
      </c>
      <c r="AR155" s="40">
        <v>103.2619247436523</v>
      </c>
      <c r="AS155" s="40">
        <v>682.4300537109375</v>
      </c>
      <c r="AT155" s="40">
        <v>197.3722229003906</v>
      </c>
      <c r="AU155" s="40">
        <v>58.800544738769531</v>
      </c>
      <c r="AV155" s="40">
        <v>137.88787841796881</v>
      </c>
      <c r="AW155" s="40">
        <v>470.27301025390619</v>
      </c>
      <c r="AX155" s="40">
        <v>177.7764587402344</v>
      </c>
      <c r="AY155" s="40">
        <v>41.261177062988281</v>
      </c>
      <c r="AZ155" s="40">
        <v>3585.6201171875</v>
      </c>
    </row>
    <row r="156" spans="1:52" ht="16" x14ac:dyDescent="0.2">
      <c r="A156" s="41">
        <v>44835</v>
      </c>
      <c r="B156" s="42">
        <v>150.4015197753906</v>
      </c>
      <c r="C156" s="42">
        <v>91.630271911621094</v>
      </c>
      <c r="D156" s="42">
        <v>318.5</v>
      </c>
      <c r="E156" s="42">
        <v>102.4199981689453</v>
      </c>
      <c r="F156" s="42">
        <v>239.0625</v>
      </c>
      <c r="G156" s="42">
        <v>102.44000244140619</v>
      </c>
      <c r="H156" s="42">
        <v>204.414306640625</v>
      </c>
      <c r="I156" s="42">
        <v>26.058078765869141</v>
      </c>
      <c r="J156" s="42">
        <v>479.21157836914062</v>
      </c>
      <c r="K156" s="42">
        <v>41.018062591552727</v>
      </c>
      <c r="L156" s="42">
        <v>153.95570373535159</v>
      </c>
      <c r="M156" s="42">
        <v>103.297248840332</v>
      </c>
      <c r="N156" s="42">
        <v>150.7171325683594</v>
      </c>
      <c r="O156" s="42">
        <v>80.241691589355469</v>
      </c>
      <c r="P156" s="42">
        <v>117.8360137939453</v>
      </c>
      <c r="Q156" s="42">
        <v>16.579999923706051</v>
      </c>
      <c r="R156" s="42">
        <v>142.9100036621094</v>
      </c>
      <c r="S156" s="42">
        <v>231.34812927246091</v>
      </c>
      <c r="T156" s="42">
        <v>47.567493438720703</v>
      </c>
      <c r="U156" s="42">
        <v>93.619148254394531</v>
      </c>
      <c r="V156" s="42">
        <v>312.8470458984375</v>
      </c>
      <c r="W156" s="42">
        <v>266.9384765625</v>
      </c>
      <c r="X156" s="42">
        <v>74.339996337890625</v>
      </c>
      <c r="Y156" s="42">
        <v>155.28764343261719</v>
      </c>
      <c r="Z156" s="42">
        <v>115.2737197875977</v>
      </c>
      <c r="AA156" s="42">
        <v>53.584690093994141</v>
      </c>
      <c r="AB156" s="42">
        <v>161.8451843261719</v>
      </c>
      <c r="AC156" s="42">
        <v>248.09413146972659</v>
      </c>
      <c r="AD156" s="42">
        <v>77.167060852050781</v>
      </c>
      <c r="AE156" s="42">
        <v>73.042343139648438</v>
      </c>
      <c r="AF156" s="42">
        <v>224.64729309082031</v>
      </c>
      <c r="AG156" s="42">
        <v>53.172897338867188</v>
      </c>
      <c r="AH156" s="42">
        <v>69.15582275390625</v>
      </c>
      <c r="AI156" s="42">
        <v>63.872013092041023</v>
      </c>
      <c r="AJ156" s="42">
        <v>13.463630676269529</v>
      </c>
      <c r="AK156" s="42">
        <v>13.989999771118161</v>
      </c>
      <c r="AL156" s="42">
        <v>48.820041656494141</v>
      </c>
      <c r="AM156" s="42">
        <v>122.12876892089839</v>
      </c>
      <c r="AN156" s="42">
        <v>277.2664794921875</v>
      </c>
      <c r="AO156" s="42">
        <v>16.219999313354489</v>
      </c>
      <c r="AP156" s="42">
        <v>98.54327392578125</v>
      </c>
      <c r="AQ156" s="42">
        <v>47.955768585205078</v>
      </c>
      <c r="AR156" s="42">
        <v>107.5393447875977</v>
      </c>
      <c r="AS156" s="42">
        <v>741.75030517578125</v>
      </c>
      <c r="AT156" s="42">
        <v>216.92146301269531</v>
      </c>
      <c r="AU156" s="42">
        <v>68.247245788574219</v>
      </c>
      <c r="AV156" s="42">
        <v>144.24034118652341</v>
      </c>
      <c r="AW156" s="42">
        <v>516.93353271484375</v>
      </c>
      <c r="AX156" s="42">
        <v>179.89349365234381</v>
      </c>
      <c r="AY156" s="42">
        <v>45.279125213623047</v>
      </c>
      <c r="AZ156" s="42">
        <v>3871.97998046875</v>
      </c>
    </row>
    <row r="157" spans="1:52" ht="16" x14ac:dyDescent="0.2">
      <c r="A157" s="39">
        <v>44866</v>
      </c>
      <c r="B157" s="40">
        <v>145.43408203125</v>
      </c>
      <c r="C157" s="40">
        <v>99.631950378417969</v>
      </c>
      <c r="D157" s="40">
        <v>344.92999267578119</v>
      </c>
      <c r="E157" s="40">
        <v>110.2799987792969</v>
      </c>
      <c r="F157" s="40">
        <v>254.99943542480469</v>
      </c>
      <c r="G157" s="40">
        <v>96.540000915527344</v>
      </c>
      <c r="H157" s="40">
        <v>223.2540588378906</v>
      </c>
      <c r="I157" s="40">
        <v>30.080911636352539</v>
      </c>
      <c r="J157" s="40">
        <v>515.28369140625</v>
      </c>
      <c r="K157" s="40">
        <v>44.891433715820312</v>
      </c>
      <c r="L157" s="40">
        <v>157.2135314941406</v>
      </c>
      <c r="M157" s="40">
        <v>94.891151428222656</v>
      </c>
      <c r="N157" s="40">
        <v>143.76997375488281</v>
      </c>
      <c r="O157" s="40">
        <v>89.2469482421875</v>
      </c>
      <c r="P157" s="40">
        <v>122.50559997558589</v>
      </c>
      <c r="Q157" s="40">
        <v>17.079999923706051</v>
      </c>
      <c r="R157" s="40">
        <v>154.61000061035159</v>
      </c>
      <c r="S157" s="40">
        <v>233.7468566894531</v>
      </c>
      <c r="T157" s="40">
        <v>52.555938720703118</v>
      </c>
      <c r="U157" s="40">
        <v>100.03806304931641</v>
      </c>
      <c r="V157" s="40">
        <v>352.95968627929688</v>
      </c>
      <c r="W157" s="40">
        <v>293.81890869140619</v>
      </c>
      <c r="X157" s="40">
        <v>79.669998168945312</v>
      </c>
      <c r="Y157" s="40">
        <v>159.91038513183591</v>
      </c>
      <c r="Z157" s="40">
        <v>126.53737640380859</v>
      </c>
      <c r="AA157" s="40">
        <v>57.355003356933587</v>
      </c>
      <c r="AB157" s="40">
        <v>169.06169128417969</v>
      </c>
      <c r="AC157" s="40">
        <v>249.61027526855469</v>
      </c>
      <c r="AD157" s="40">
        <v>69.833793640136719</v>
      </c>
      <c r="AE157" s="40">
        <v>82.731544494628906</v>
      </c>
      <c r="AF157" s="40">
        <v>247.6114501953125</v>
      </c>
      <c r="AG157" s="40">
        <v>56.662059783935547</v>
      </c>
      <c r="AH157" s="40">
        <v>75.964462280273438</v>
      </c>
      <c r="AI157" s="40">
        <v>62.341381072998047</v>
      </c>
      <c r="AJ157" s="40">
        <v>16.885478973388668</v>
      </c>
      <c r="AK157" s="40">
        <v>15.189999580383301</v>
      </c>
      <c r="AL157" s="40">
        <v>55.074790954589837</v>
      </c>
      <c r="AM157" s="40">
        <v>135.26934814453119</v>
      </c>
      <c r="AN157" s="40">
        <v>286.521728515625</v>
      </c>
      <c r="AO157" s="40">
        <v>18.79999923706055</v>
      </c>
      <c r="AP157" s="40">
        <v>104.8073348999023</v>
      </c>
      <c r="AQ157" s="40">
        <v>48.881019592285163</v>
      </c>
      <c r="AR157" s="40">
        <v>116.3469619750977</v>
      </c>
      <c r="AS157" s="40">
        <v>744.67279052734375</v>
      </c>
      <c r="AT157" s="40">
        <v>240.80120849609381</v>
      </c>
      <c r="AU157" s="40">
        <v>76.086402893066406</v>
      </c>
      <c r="AV157" s="40">
        <v>162.04704284667969</v>
      </c>
      <c r="AW157" s="40">
        <v>510.05209350585938</v>
      </c>
      <c r="AX157" s="40">
        <v>198.40840148925781</v>
      </c>
      <c r="AY157" s="40">
        <v>48.489044189453118</v>
      </c>
      <c r="AZ157" s="40">
        <v>4080.110107421875</v>
      </c>
    </row>
    <row r="158" spans="1:52" ht="16" x14ac:dyDescent="0.2">
      <c r="A158" s="41">
        <v>44896</v>
      </c>
      <c r="B158" s="42">
        <v>127.6515274047852</v>
      </c>
      <c r="C158" s="42">
        <v>101.6786804199219</v>
      </c>
      <c r="D158" s="42">
        <v>336.52999877929688</v>
      </c>
      <c r="E158" s="42">
        <v>99.489997863769531</v>
      </c>
      <c r="F158" s="42">
        <v>233.84449768066409</v>
      </c>
      <c r="G158" s="42">
        <v>84</v>
      </c>
      <c r="H158" s="42">
        <v>226.228759765625</v>
      </c>
      <c r="I158" s="42">
        <v>28.70986366271973</v>
      </c>
      <c r="J158" s="42">
        <v>436.2115478515625</v>
      </c>
      <c r="K158" s="42">
        <v>43.013435363769531</v>
      </c>
      <c r="L158" s="42">
        <v>153.93736267089841</v>
      </c>
      <c r="M158" s="42">
        <v>84.235641479492188</v>
      </c>
      <c r="N158" s="42">
        <v>140.1884765625</v>
      </c>
      <c r="O158" s="42">
        <v>89.5172119140625</v>
      </c>
      <c r="P158" s="42">
        <v>113.12534332275391</v>
      </c>
      <c r="Q158" s="42">
        <v>16.04000091552734</v>
      </c>
      <c r="R158" s="42">
        <v>143.50999450683591</v>
      </c>
      <c r="S158" s="42">
        <v>229.78302001953119</v>
      </c>
      <c r="T158" s="42">
        <v>51.272731781005859</v>
      </c>
      <c r="U158" s="42">
        <v>87.398345947265625</v>
      </c>
      <c r="V158" s="42">
        <v>313.8658447265625</v>
      </c>
      <c r="W158" s="42">
        <v>286.446044921875</v>
      </c>
      <c r="X158" s="42">
        <v>80.319999694824219</v>
      </c>
      <c r="Y158" s="42">
        <v>158.69757080078119</v>
      </c>
      <c r="Z158" s="42">
        <v>122.80113220214839</v>
      </c>
      <c r="AA158" s="42">
        <v>57.355003356933587</v>
      </c>
      <c r="AB158" s="42">
        <v>155.99577331542969</v>
      </c>
      <c r="AC158" s="42">
        <v>241.13714599609381</v>
      </c>
      <c r="AD158" s="42">
        <v>69.278411865234375</v>
      </c>
      <c r="AE158" s="42">
        <v>75.575759887695312</v>
      </c>
      <c r="AF158" s="42">
        <v>232.74348449707031</v>
      </c>
      <c r="AG158" s="42">
        <v>49.235286712646477</v>
      </c>
      <c r="AH158" s="42">
        <v>74.977912902832031</v>
      </c>
      <c r="AI158" s="42">
        <v>55.379726409912109</v>
      </c>
      <c r="AJ158" s="42">
        <v>14.58159923553467</v>
      </c>
      <c r="AK158" s="42">
        <v>17.489999771118161</v>
      </c>
      <c r="AL158" s="42">
        <v>54.07073974609375</v>
      </c>
      <c r="AM158" s="42">
        <v>137.4458923339844</v>
      </c>
      <c r="AN158" s="42">
        <v>278.91159057617188</v>
      </c>
      <c r="AO158" s="42">
        <v>16.829999923706051</v>
      </c>
      <c r="AP158" s="42">
        <v>100.97772216796881</v>
      </c>
      <c r="AQ158" s="42">
        <v>43.585414886474609</v>
      </c>
      <c r="AR158" s="42">
        <v>101.1240692138672</v>
      </c>
      <c r="AS158" s="42">
        <v>714.74517822265625</v>
      </c>
      <c r="AT158" s="42">
        <v>229.34968566894531</v>
      </c>
      <c r="AU158" s="42">
        <v>75.658683776855469</v>
      </c>
      <c r="AV158" s="42">
        <v>148.3620300292969</v>
      </c>
      <c r="AW158" s="42">
        <v>495.20419311523438</v>
      </c>
      <c r="AX158" s="42">
        <v>190.11891174316409</v>
      </c>
      <c r="AY158" s="42">
        <v>45.277385711669922</v>
      </c>
      <c r="AZ158" s="42">
        <v>3839.5</v>
      </c>
    </row>
    <row r="159" spans="1:52" ht="16" x14ac:dyDescent="0.2">
      <c r="A159" s="39">
        <v>44927</v>
      </c>
      <c r="B159" s="40">
        <v>141.75968933105469</v>
      </c>
      <c r="C159" s="40">
        <v>102.8460693359375</v>
      </c>
      <c r="D159" s="40">
        <v>370.33999633789062</v>
      </c>
      <c r="E159" s="40">
        <v>107.51999664306641</v>
      </c>
      <c r="F159" s="40">
        <v>224.72715759277341</v>
      </c>
      <c r="G159" s="40">
        <v>103.129997253418</v>
      </c>
      <c r="H159" s="40">
        <v>239.38658142089841</v>
      </c>
      <c r="I159" s="40">
        <v>32.557147979736328</v>
      </c>
      <c r="J159" s="40">
        <v>488.4232177734375</v>
      </c>
      <c r="K159" s="40">
        <v>44.294513702392578</v>
      </c>
      <c r="L159" s="40">
        <v>149.24610900878909</v>
      </c>
      <c r="M159" s="40">
        <v>105.1879043579102</v>
      </c>
      <c r="N159" s="40">
        <v>149.1163635253906</v>
      </c>
      <c r="O159" s="40">
        <v>84.074966430664062</v>
      </c>
      <c r="P159" s="40">
        <v>116.2449569702148</v>
      </c>
      <c r="Q159" s="40">
        <v>17.620000839233398</v>
      </c>
      <c r="R159" s="40">
        <v>147.6600036621094</v>
      </c>
      <c r="S159" s="40">
        <v>216.9983215332031</v>
      </c>
      <c r="T159" s="40">
        <v>63.08575439453125</v>
      </c>
      <c r="U159" s="40">
        <v>97.908332824707031</v>
      </c>
      <c r="V159" s="40">
        <v>334.36798095703119</v>
      </c>
      <c r="W159" s="40">
        <v>293.98214721679688</v>
      </c>
      <c r="X159" s="40">
        <v>85.139999389648438</v>
      </c>
      <c r="Y159" s="40">
        <v>146.81211853027341</v>
      </c>
      <c r="Z159" s="40">
        <v>129.11412048339841</v>
      </c>
      <c r="AA159" s="40">
        <v>55.290176391601562</v>
      </c>
      <c r="AB159" s="40">
        <v>150.02799987792969</v>
      </c>
      <c r="AC159" s="40">
        <v>244.67828369140619</v>
      </c>
      <c r="AD159" s="40">
        <v>74.599990844726562</v>
      </c>
      <c r="AE159" s="40">
        <v>87.216178894042969</v>
      </c>
      <c r="AF159" s="40">
        <v>240.4977111816406</v>
      </c>
      <c r="AG159" s="40">
        <v>59.401519775390618</v>
      </c>
      <c r="AH159" s="40">
        <v>66.933036804199219</v>
      </c>
      <c r="AI159" s="40">
        <v>61.565990447998047</v>
      </c>
      <c r="AJ159" s="40">
        <v>19.493682861328121</v>
      </c>
      <c r="AK159" s="40">
        <v>21.35000038146973</v>
      </c>
      <c r="AL159" s="40">
        <v>57.143421173095703</v>
      </c>
      <c r="AM159" s="40">
        <v>129.93101501464841</v>
      </c>
      <c r="AN159" s="40">
        <v>312.45770263671881</v>
      </c>
      <c r="AO159" s="40">
        <v>18.120000839233398</v>
      </c>
      <c r="AP159" s="40">
        <v>115.802360534668</v>
      </c>
      <c r="AQ159" s="40">
        <v>48.999137878417969</v>
      </c>
      <c r="AR159" s="40">
        <v>122.52809906005859</v>
      </c>
      <c r="AS159" s="40">
        <v>751.37933349609375</v>
      </c>
      <c r="AT159" s="40">
        <v>228.63456726074219</v>
      </c>
      <c r="AU159" s="40">
        <v>77.806770324707031</v>
      </c>
      <c r="AV159" s="40">
        <v>160.2626647949219</v>
      </c>
      <c r="AW159" s="40">
        <v>466.25860595703119</v>
      </c>
      <c r="AX159" s="40">
        <v>187.4746398925781</v>
      </c>
      <c r="AY159" s="40">
        <v>45.94158935546875</v>
      </c>
      <c r="AZ159" s="40">
        <v>4076.60009765625</v>
      </c>
    </row>
    <row r="160" spans="1:52" ht="16" x14ac:dyDescent="0.2">
      <c r="A160" s="41">
        <v>44958</v>
      </c>
      <c r="B160" s="42">
        <v>145.04612731933591</v>
      </c>
      <c r="C160" s="42">
        <v>94.631423950195312</v>
      </c>
      <c r="D160" s="42">
        <v>323.95001220703119</v>
      </c>
      <c r="E160" s="42">
        <v>108.63999938964839</v>
      </c>
      <c r="F160" s="42">
        <v>208.08001708984381</v>
      </c>
      <c r="G160" s="42">
        <v>94.230003356933594</v>
      </c>
      <c r="H160" s="42">
        <v>227.2981872558594</v>
      </c>
      <c r="I160" s="42">
        <v>30.75347900390625</v>
      </c>
      <c r="J160" s="42">
        <v>463.46673583984381</v>
      </c>
      <c r="K160" s="42">
        <v>44.066989898681641</v>
      </c>
      <c r="L160" s="42">
        <v>139.101318359375</v>
      </c>
      <c r="M160" s="42">
        <v>96.578193664550781</v>
      </c>
      <c r="N160" s="42">
        <v>153.48883056640619</v>
      </c>
      <c r="O160" s="42">
        <v>77.540374755859375</v>
      </c>
      <c r="P160" s="42">
        <v>99.342178344726562</v>
      </c>
      <c r="Q160" s="42">
        <v>17.079999923706051</v>
      </c>
      <c r="R160" s="42">
        <v>142.97999572753909</v>
      </c>
      <c r="S160" s="42">
        <v>212.20326232910159</v>
      </c>
      <c r="T160" s="42">
        <v>66.401519775390625</v>
      </c>
      <c r="U160" s="42">
        <v>89.211105346679688</v>
      </c>
      <c r="V160" s="42">
        <v>321.425048828125</v>
      </c>
      <c r="W160" s="42">
        <v>268.92514038085938</v>
      </c>
      <c r="X160" s="42">
        <v>76.980003356933594</v>
      </c>
      <c r="Y160" s="42">
        <v>138.67491149902341</v>
      </c>
      <c r="Z160" s="42">
        <v>132.24143981933591</v>
      </c>
      <c r="AA160" s="42">
        <v>53.658164978027337</v>
      </c>
      <c r="AB160" s="42">
        <v>144.47044372558591</v>
      </c>
      <c r="AC160" s="42">
        <v>242.87916564941409</v>
      </c>
      <c r="AD160" s="42">
        <v>73.806648254394531</v>
      </c>
      <c r="AE160" s="42">
        <v>86.472419738769531</v>
      </c>
      <c r="AF160" s="42">
        <v>242.66648864746091</v>
      </c>
      <c r="AG160" s="42">
        <v>56.958477020263672</v>
      </c>
      <c r="AH160" s="42">
        <v>64.115821838378906</v>
      </c>
      <c r="AI160" s="42">
        <v>60.004283905029297</v>
      </c>
      <c r="AJ160" s="42">
        <v>23.164529800415039</v>
      </c>
      <c r="AK160" s="42">
        <v>20.889999389648441</v>
      </c>
      <c r="AL160" s="42">
        <v>54.615013122558587</v>
      </c>
      <c r="AM160" s="42">
        <v>125.532470703125</v>
      </c>
      <c r="AN160" s="42">
        <v>338.51290893554688</v>
      </c>
      <c r="AO160" s="42">
        <v>17.620000839233398</v>
      </c>
      <c r="AP160" s="42">
        <v>110.5353546142578</v>
      </c>
      <c r="AQ160" s="42">
        <v>53.320274353027337</v>
      </c>
      <c r="AR160" s="42">
        <v>113.62432861328119</v>
      </c>
      <c r="AS160" s="42">
        <v>753.3111572265625</v>
      </c>
      <c r="AT160" s="42">
        <v>214.4888000488281</v>
      </c>
      <c r="AU160" s="42">
        <v>73.077156066894531</v>
      </c>
      <c r="AV160" s="42">
        <v>155.05351257324219</v>
      </c>
      <c r="AW160" s="42">
        <v>444.54241943359381</v>
      </c>
      <c r="AX160" s="42">
        <v>191.59544372558591</v>
      </c>
      <c r="AY160" s="42">
        <v>45.385955810546882</v>
      </c>
      <c r="AZ160" s="42">
        <v>3970.14990234375</v>
      </c>
    </row>
    <row r="161" spans="1:52" ht="16" x14ac:dyDescent="0.2">
      <c r="A161" s="39">
        <v>44986</v>
      </c>
      <c r="B161" s="40">
        <v>162.25566101074219</v>
      </c>
      <c r="C161" s="40">
        <v>94.203483581542969</v>
      </c>
      <c r="D161" s="40">
        <v>385.3699951171875</v>
      </c>
      <c r="E161" s="40">
        <v>106.7600021362305</v>
      </c>
      <c r="F161" s="40">
        <v>217.14300537109381</v>
      </c>
      <c r="G161" s="40">
        <v>103.2900009155273</v>
      </c>
      <c r="H161" s="40">
        <v>217.1359558105469</v>
      </c>
      <c r="I161" s="40">
        <v>31.3657341003418</v>
      </c>
      <c r="J161" s="40">
        <v>475.61380004882812</v>
      </c>
      <c r="K161" s="40">
        <v>47.579963684082031</v>
      </c>
      <c r="L161" s="40">
        <v>141.1691589355469</v>
      </c>
      <c r="M161" s="40">
        <v>97.082359313964844</v>
      </c>
      <c r="N161" s="40">
        <v>159.96998596191409</v>
      </c>
      <c r="O161" s="40">
        <v>81.693489074707031</v>
      </c>
      <c r="P161" s="40">
        <v>101.6885604858398</v>
      </c>
      <c r="Q161" s="40">
        <v>19.409999847412109</v>
      </c>
      <c r="R161" s="40">
        <v>145.69000244140619</v>
      </c>
      <c r="S161" s="40">
        <v>212.48258972167969</v>
      </c>
      <c r="T161" s="40">
        <v>75.00732421875</v>
      </c>
      <c r="U161" s="40">
        <v>102.7522354125977</v>
      </c>
      <c r="V161" s="40">
        <v>301.13519287109381</v>
      </c>
      <c r="W161" s="40">
        <v>269.57553100585938</v>
      </c>
      <c r="X161" s="40">
        <v>72.269996643066406</v>
      </c>
      <c r="Y161" s="40">
        <v>140.24932861328119</v>
      </c>
      <c r="Z161" s="40">
        <v>120.2119140625</v>
      </c>
      <c r="AA161" s="40">
        <v>56.359371185302727</v>
      </c>
      <c r="AB161" s="40">
        <v>145.0848693847656</v>
      </c>
      <c r="AC161" s="40">
        <v>257.32797241210938</v>
      </c>
      <c r="AD161" s="40">
        <v>72.479965209960938</v>
      </c>
      <c r="AE161" s="40">
        <v>78.676460266113281</v>
      </c>
      <c r="AF161" s="40">
        <v>280.49371337890619</v>
      </c>
      <c r="AG161" s="40">
        <v>59.440921783447273</v>
      </c>
      <c r="AH161" s="40">
        <v>69.576904296875</v>
      </c>
      <c r="AI161" s="40">
        <v>59.35357666015625</v>
      </c>
      <c r="AJ161" s="40">
        <v>27.720123291015621</v>
      </c>
      <c r="AK161" s="40">
        <v>17.629999160766602</v>
      </c>
      <c r="AL161" s="40">
        <v>53.021213531494141</v>
      </c>
      <c r="AM161" s="40">
        <v>135.6893005371094</v>
      </c>
      <c r="AN161" s="40">
        <v>323.36956787109381</v>
      </c>
      <c r="AO161" s="40">
        <v>16.579999923706051</v>
      </c>
      <c r="AP161" s="40">
        <v>112.5786514282227</v>
      </c>
      <c r="AQ161" s="40">
        <v>48.270751953125</v>
      </c>
      <c r="AR161" s="40">
        <v>118.0663986206055</v>
      </c>
      <c r="AS161" s="40">
        <v>813.988525390625</v>
      </c>
      <c r="AT161" s="40">
        <v>217.80279541015619</v>
      </c>
      <c r="AU161" s="40">
        <v>74.756240844726562</v>
      </c>
      <c r="AV161" s="40">
        <v>168.2210998535156</v>
      </c>
      <c r="AW161" s="40">
        <v>442.985595703125</v>
      </c>
      <c r="AX161" s="40">
        <v>186.03099060058591</v>
      </c>
      <c r="AY161" s="40">
        <v>47.27777099609375</v>
      </c>
      <c r="AZ161" s="40">
        <v>4109.31005859375</v>
      </c>
    </row>
    <row r="162" spans="1:52" ht="16" x14ac:dyDescent="0.2">
      <c r="A162" s="41">
        <v>45017</v>
      </c>
      <c r="B162" s="42">
        <v>166.958984375</v>
      </c>
      <c r="C162" s="42">
        <v>103.28525543212891</v>
      </c>
      <c r="D162" s="42">
        <v>377.55999755859381</v>
      </c>
      <c r="E162" s="42">
        <v>81.739997863769531</v>
      </c>
      <c r="F162" s="42">
        <v>215.33760070800781</v>
      </c>
      <c r="G162" s="42">
        <v>105.4499969482422</v>
      </c>
      <c r="H162" s="42">
        <v>208.73637390136719</v>
      </c>
      <c r="I162" s="42">
        <v>34.491596221923828</v>
      </c>
      <c r="J162" s="42">
        <v>481.69219970703119</v>
      </c>
      <c r="K162" s="42">
        <v>43.325183868408203</v>
      </c>
      <c r="L162" s="42">
        <v>145.85865783691409</v>
      </c>
      <c r="M162" s="42">
        <v>99.380226135253906</v>
      </c>
      <c r="N162" s="42">
        <v>162.202392578125</v>
      </c>
      <c r="O162" s="42">
        <v>78.055999755859375</v>
      </c>
      <c r="P162" s="42">
        <v>106.7018661499023</v>
      </c>
      <c r="Q162" s="42">
        <v>18.29999923706055</v>
      </c>
      <c r="R162" s="42">
        <v>134.36000061035159</v>
      </c>
      <c r="S162" s="42">
        <v>204.47015380859381</v>
      </c>
      <c r="T162" s="42">
        <v>77.651412963867188</v>
      </c>
      <c r="U162" s="42">
        <v>106.3282089233398</v>
      </c>
      <c r="V162" s="42">
        <v>316.16845703125</v>
      </c>
      <c r="W162" s="42">
        <v>274.52639770507812</v>
      </c>
      <c r="X162" s="42">
        <v>74.410003662109375</v>
      </c>
      <c r="Y162" s="42">
        <v>148.12139892578119</v>
      </c>
      <c r="Z162" s="42">
        <v>128.52825927734381</v>
      </c>
      <c r="AA162" s="42">
        <v>58.285572052001953</v>
      </c>
      <c r="AB162" s="42">
        <v>115.91042327880859</v>
      </c>
      <c r="AC162" s="42">
        <v>272.18182373046881</v>
      </c>
      <c r="AD162" s="42">
        <v>81.766960144042969</v>
      </c>
      <c r="AE162" s="42">
        <v>81.319206237792969</v>
      </c>
      <c r="AF162" s="42">
        <v>298.9404296875</v>
      </c>
      <c r="AG162" s="42">
        <v>63.529151916503913</v>
      </c>
      <c r="AH162" s="42">
        <v>69.170707702636719</v>
      </c>
      <c r="AI162" s="42">
        <v>58.927459716796882</v>
      </c>
      <c r="AJ162" s="42">
        <v>27.692182540893551</v>
      </c>
      <c r="AK162" s="42">
        <v>17.729999542236332</v>
      </c>
      <c r="AL162" s="42">
        <v>55.391738891601562</v>
      </c>
      <c r="AM162" s="42">
        <v>143.60040283203119</v>
      </c>
      <c r="AN162" s="42">
        <v>312.56524658203119</v>
      </c>
      <c r="AO162" s="42">
        <v>14.460000038146971</v>
      </c>
      <c r="AP162" s="42">
        <v>113.0117568969727</v>
      </c>
      <c r="AQ162" s="42">
        <v>42.857021331787109</v>
      </c>
      <c r="AR162" s="42">
        <v>108.0902404785156</v>
      </c>
      <c r="AS162" s="42">
        <v>794.2943115234375</v>
      </c>
      <c r="AT162" s="42">
        <v>230.17692565917969</v>
      </c>
      <c r="AU162" s="42">
        <v>75.195075988769531</v>
      </c>
      <c r="AV162" s="42">
        <v>151.2099914550781</v>
      </c>
      <c r="AW162" s="42">
        <v>461.26406860351562</v>
      </c>
      <c r="AX162" s="42">
        <v>180.8916931152344</v>
      </c>
      <c r="AY162" s="42">
        <v>48.406402587890618</v>
      </c>
      <c r="AZ162" s="42">
        <v>4169.47998046875</v>
      </c>
    </row>
    <row r="163" spans="1:52" ht="16" x14ac:dyDescent="0.2">
      <c r="A163" s="39">
        <v>45047</v>
      </c>
      <c r="B163" s="40">
        <v>174.64881896972659</v>
      </c>
      <c r="C163" s="40">
        <v>95.366134643554688</v>
      </c>
      <c r="D163" s="40">
        <v>417.79000854492188</v>
      </c>
      <c r="E163" s="40">
        <v>90.150001525878906</v>
      </c>
      <c r="F163" s="40">
        <v>200.06068420410159</v>
      </c>
      <c r="G163" s="40">
        <v>120.5800018310547</v>
      </c>
      <c r="H163" s="40">
        <v>196.28662109375</v>
      </c>
      <c r="I163" s="40">
        <v>32.807456970214837</v>
      </c>
      <c r="J163" s="40">
        <v>490.69683837890619</v>
      </c>
      <c r="K163" s="40">
        <v>45.544170379638672</v>
      </c>
      <c r="L163" s="40">
        <v>131.595458984375</v>
      </c>
      <c r="M163" s="40">
        <v>85.282783508300781</v>
      </c>
      <c r="N163" s="40">
        <v>159.50611877441409</v>
      </c>
      <c r="O163" s="40">
        <v>73.286811828613281</v>
      </c>
      <c r="P163" s="40">
        <v>95.823577880859375</v>
      </c>
      <c r="Q163" s="40">
        <v>19.280000686645511</v>
      </c>
      <c r="R163" s="40">
        <v>147.58000183105469</v>
      </c>
      <c r="S163" s="40">
        <v>191.20964050292969</v>
      </c>
      <c r="T163" s="40">
        <v>79.659980773925781</v>
      </c>
      <c r="U163" s="40">
        <v>121.7118301391602</v>
      </c>
      <c r="V163" s="40">
        <v>300.45046997070312</v>
      </c>
      <c r="W163" s="40">
        <v>260.77957153320312</v>
      </c>
      <c r="X163" s="40">
        <v>61.549999237060547</v>
      </c>
      <c r="Y163" s="40">
        <v>141.36219787597659</v>
      </c>
      <c r="Z163" s="40">
        <v>126.1759948730469</v>
      </c>
      <c r="AA163" s="40">
        <v>54.206031799316413</v>
      </c>
      <c r="AB163" s="40">
        <v>113.40748596191411</v>
      </c>
      <c r="AC163" s="40">
        <v>262.38973999023438</v>
      </c>
      <c r="AD163" s="40">
        <v>74.403892517089844</v>
      </c>
      <c r="AE163" s="40">
        <v>73.898605346679688</v>
      </c>
      <c r="AF163" s="40">
        <v>320.19671630859381</v>
      </c>
      <c r="AG163" s="40">
        <v>67.319587707519531</v>
      </c>
      <c r="AH163" s="40">
        <v>66.734832763671875</v>
      </c>
      <c r="AI163" s="40">
        <v>62.169448852539062</v>
      </c>
      <c r="AJ163" s="40">
        <v>37.75653076171875</v>
      </c>
      <c r="AK163" s="40">
        <v>15.310000419616699</v>
      </c>
      <c r="AL163" s="40">
        <v>47.981899261474609</v>
      </c>
      <c r="AM163" s="40">
        <v>130.8547058105469</v>
      </c>
      <c r="AN163" s="40">
        <v>309.69570922851562</v>
      </c>
      <c r="AO163" s="40">
        <v>21.229999542236332</v>
      </c>
      <c r="AP163" s="40">
        <v>112.38014984130859</v>
      </c>
      <c r="AQ163" s="40">
        <v>48.615253448486328</v>
      </c>
      <c r="AR163" s="40">
        <v>105.68186950683589</v>
      </c>
      <c r="AS163" s="40">
        <v>728.68359375</v>
      </c>
      <c r="AT163" s="40">
        <v>221.3077087402344</v>
      </c>
      <c r="AU163" s="40">
        <v>73.570152282714844</v>
      </c>
      <c r="AV163" s="40">
        <v>158.46183776855469</v>
      </c>
      <c r="AW163" s="40">
        <v>456.71792602539062</v>
      </c>
      <c r="AX163" s="40">
        <v>179.1584777832031</v>
      </c>
      <c r="AY163" s="40">
        <v>47.27069091796875</v>
      </c>
      <c r="AZ163" s="40">
        <v>4179.830078125</v>
      </c>
    </row>
    <row r="164" spans="1:52" ht="16" x14ac:dyDescent="0.2">
      <c r="A164" s="41">
        <v>45078</v>
      </c>
      <c r="B164" s="42">
        <v>191.12345886230469</v>
      </c>
      <c r="C164" s="42">
        <v>101.92955017089839</v>
      </c>
      <c r="D164" s="42">
        <v>488.989990234375</v>
      </c>
      <c r="E164" s="42">
        <v>92.699996948242188</v>
      </c>
      <c r="F164" s="42">
        <v>201.30284118652341</v>
      </c>
      <c r="G164" s="42">
        <v>130.36000061035159</v>
      </c>
      <c r="H164" s="42">
        <v>234.73301696777341</v>
      </c>
      <c r="I164" s="42">
        <v>34.641670227050781</v>
      </c>
      <c r="J164" s="42">
        <v>516.42291259765625</v>
      </c>
      <c r="K164" s="42">
        <v>47.442226409912109</v>
      </c>
      <c r="L164" s="42">
        <v>137.4754333496094</v>
      </c>
      <c r="M164" s="42">
        <v>86.562599182128906</v>
      </c>
      <c r="N164" s="42">
        <v>180.9455261230469</v>
      </c>
      <c r="O164" s="42">
        <v>85.277992248535156</v>
      </c>
      <c r="P164" s="42">
        <v>102.2094345092773</v>
      </c>
      <c r="Q164" s="42">
        <v>19.110000610351559</v>
      </c>
      <c r="R164" s="42">
        <v>146.25999450683591</v>
      </c>
      <c r="S164" s="42">
        <v>201.4827880859375</v>
      </c>
      <c r="T164" s="42">
        <v>86.187820434570312</v>
      </c>
      <c r="U164" s="42">
        <v>118.5717010498047</v>
      </c>
      <c r="V164" s="42">
        <v>299.18896484375</v>
      </c>
      <c r="W164" s="42">
        <v>285.794921875</v>
      </c>
      <c r="X164" s="42">
        <v>62.25</v>
      </c>
      <c r="Y164" s="42">
        <v>150.898193359375</v>
      </c>
      <c r="Z164" s="42">
        <v>135.222412109375</v>
      </c>
      <c r="AA164" s="42">
        <v>55.131549835205078</v>
      </c>
      <c r="AB164" s="42">
        <v>114.8900527954102</v>
      </c>
      <c r="AC164" s="42">
        <v>276.08767700195312</v>
      </c>
      <c r="AD164" s="42">
        <v>79.828384399414062</v>
      </c>
      <c r="AE164" s="42">
        <v>77.188613891601562</v>
      </c>
      <c r="AF164" s="42">
        <v>332.04360961914062</v>
      </c>
      <c r="AG164" s="42">
        <v>62.295291900634773</v>
      </c>
      <c r="AH164" s="42">
        <v>67.407081604003906</v>
      </c>
      <c r="AI164" s="42">
        <v>71.586212158203125</v>
      </c>
      <c r="AJ164" s="42">
        <v>42.219749450683587</v>
      </c>
      <c r="AK164" s="42">
        <v>18.70000076293945</v>
      </c>
      <c r="AL164" s="42">
        <v>52.266902923583977</v>
      </c>
      <c r="AM164" s="42">
        <v>139.339599609375</v>
      </c>
      <c r="AN164" s="42">
        <v>376.96200561523438</v>
      </c>
      <c r="AO164" s="42">
        <v>25.79000091552734</v>
      </c>
      <c r="AP164" s="42">
        <v>111.4407119750977</v>
      </c>
      <c r="AQ164" s="42">
        <v>55.416866302490227</v>
      </c>
      <c r="AR164" s="42">
        <v>110.9282302856445</v>
      </c>
      <c r="AS164" s="42">
        <v>711.82269287109375</v>
      </c>
      <c r="AT164" s="42">
        <v>257.97525024414062</v>
      </c>
      <c r="AU164" s="42">
        <v>81.234725952148438</v>
      </c>
      <c r="AV164" s="42">
        <v>164.057373046875</v>
      </c>
      <c r="AW164" s="42">
        <v>452.38079833984381</v>
      </c>
      <c r="AX164" s="42">
        <v>190.4186706542969</v>
      </c>
      <c r="AY164" s="42">
        <v>50.588993072509773</v>
      </c>
      <c r="AZ164" s="42">
        <v>4450.3798828125</v>
      </c>
    </row>
    <row r="165" spans="1:52" ht="16" x14ac:dyDescent="0.2">
      <c r="A165" s="39">
        <v>45108</v>
      </c>
      <c r="B165" s="40">
        <v>193.5670471191406</v>
      </c>
      <c r="C165" s="40">
        <v>104.58851623535161</v>
      </c>
      <c r="D165" s="40">
        <v>546.16998291015625</v>
      </c>
      <c r="E165" s="40">
        <v>91.569999694824219</v>
      </c>
      <c r="F165" s="40">
        <v>212.30097961425781</v>
      </c>
      <c r="G165" s="40">
        <v>133.67999267578119</v>
      </c>
      <c r="H165" s="40">
        <v>254.2264099121094</v>
      </c>
      <c r="I165" s="40">
        <v>38.000045776367188</v>
      </c>
      <c r="J165" s="40">
        <v>537.8038330078125</v>
      </c>
      <c r="K165" s="40">
        <v>48.079151153564453</v>
      </c>
      <c r="L165" s="40">
        <v>142.98841857910159</v>
      </c>
      <c r="M165" s="40">
        <v>86.184471130371094</v>
      </c>
      <c r="N165" s="40">
        <v>177.5047912597656</v>
      </c>
      <c r="O165" s="40">
        <v>86.183692932128906</v>
      </c>
      <c r="P165" s="40">
        <v>119.1682052612305</v>
      </c>
      <c r="Q165" s="40">
        <v>19.70999908447266</v>
      </c>
      <c r="R165" s="40">
        <v>158.24000549316409</v>
      </c>
      <c r="S165" s="40">
        <v>210.6695861816406</v>
      </c>
      <c r="T165" s="40">
        <v>89.698463439941406</v>
      </c>
      <c r="U165" s="40">
        <v>131.46897888183591</v>
      </c>
      <c r="V165" s="40">
        <v>330.10595703125</v>
      </c>
      <c r="W165" s="40">
        <v>307.139404296875</v>
      </c>
      <c r="X165" s="40">
        <v>63.720001220703118</v>
      </c>
      <c r="Y165" s="40">
        <v>152.73065185546881</v>
      </c>
      <c r="Z165" s="40">
        <v>147.87147521972659</v>
      </c>
      <c r="AA165" s="40">
        <v>56.697052001953118</v>
      </c>
      <c r="AB165" s="40">
        <v>127.58823394775391</v>
      </c>
      <c r="AC165" s="40">
        <v>271.2674560546875</v>
      </c>
      <c r="AD165" s="40">
        <v>79.520301818847656</v>
      </c>
      <c r="AE165" s="40">
        <v>83.521728515625</v>
      </c>
      <c r="AF165" s="40">
        <v>327.538818359375</v>
      </c>
      <c r="AG165" s="40">
        <v>70.601005554199219</v>
      </c>
      <c r="AH165" s="40">
        <v>66.589485168457031</v>
      </c>
      <c r="AI165" s="40">
        <v>73.577003479003906</v>
      </c>
      <c r="AJ165" s="40">
        <v>46.638137817382812</v>
      </c>
      <c r="AK165" s="40">
        <v>22.45000076293945</v>
      </c>
      <c r="AL165" s="40">
        <v>57.590274810791023</v>
      </c>
      <c r="AM165" s="40">
        <v>144.43125915527341</v>
      </c>
      <c r="AN165" s="40">
        <v>396.26248168945312</v>
      </c>
      <c r="AO165" s="40">
        <v>26.45000076293945</v>
      </c>
      <c r="AP165" s="40">
        <v>113.3672637939453</v>
      </c>
      <c r="AQ165" s="40">
        <v>55.466075897216797</v>
      </c>
      <c r="AR165" s="40">
        <v>123.1634902954102</v>
      </c>
      <c r="AS165" s="40">
        <v>734.9742431640625</v>
      </c>
      <c r="AT165" s="40">
        <v>268.643310546875</v>
      </c>
      <c r="AU165" s="40">
        <v>82.901763916015625</v>
      </c>
      <c r="AV165" s="40">
        <v>165.1917419433594</v>
      </c>
      <c r="AW165" s="40">
        <v>476.59796142578119</v>
      </c>
      <c r="AX165" s="40">
        <v>215.91705322265619</v>
      </c>
      <c r="AY165" s="40">
        <v>51.451568603515618</v>
      </c>
      <c r="AZ165" s="40">
        <v>4588.9599609375</v>
      </c>
    </row>
    <row r="166" spans="1:52" ht="16" x14ac:dyDescent="0.2">
      <c r="A166" s="41">
        <v>45139</v>
      </c>
      <c r="B166" s="42">
        <v>185.36296081542969</v>
      </c>
      <c r="C166" s="42">
        <v>96.669013977050781</v>
      </c>
      <c r="D166" s="42">
        <v>559.34002685546875</v>
      </c>
      <c r="E166" s="42">
        <v>87.699996948242188</v>
      </c>
      <c r="F166" s="42">
        <v>234.3034973144531</v>
      </c>
      <c r="G166" s="42">
        <v>138.00999450683591</v>
      </c>
      <c r="H166" s="42">
        <v>269.52774047851562</v>
      </c>
      <c r="I166" s="42">
        <v>39.259445190429688</v>
      </c>
      <c r="J166" s="42">
        <v>527.87396240234375</v>
      </c>
      <c r="K166" s="42">
        <v>52.984992980957031</v>
      </c>
      <c r="L166" s="42">
        <v>142.10444641113281</v>
      </c>
      <c r="M166" s="42">
        <v>81.133041381835938</v>
      </c>
      <c r="N166" s="42">
        <v>178.1541442871094</v>
      </c>
      <c r="O166" s="42">
        <v>93.198074340820312</v>
      </c>
      <c r="P166" s="42">
        <v>115.65240478515619</v>
      </c>
      <c r="Q166" s="42">
        <v>22.389999389648441</v>
      </c>
      <c r="R166" s="42">
        <v>163.6600036621094</v>
      </c>
      <c r="S166" s="42">
        <v>213.55284118652341</v>
      </c>
      <c r="T166" s="42">
        <v>89.871192932128906</v>
      </c>
      <c r="U166" s="42">
        <v>134.8864440917969</v>
      </c>
      <c r="V166" s="42">
        <v>306.51937866210938</v>
      </c>
      <c r="W166" s="42">
        <v>305.82305908203119</v>
      </c>
      <c r="X166" s="42">
        <v>64.529998779296875</v>
      </c>
      <c r="Y166" s="42">
        <v>148.46759033203119</v>
      </c>
      <c r="Z166" s="42">
        <v>136.9842224121094</v>
      </c>
      <c r="AA166" s="42">
        <v>54.774497985839837</v>
      </c>
      <c r="AB166" s="42">
        <v>119.81036376953119</v>
      </c>
      <c r="AC166" s="42">
        <v>261.51730346679688</v>
      </c>
      <c r="AD166" s="42">
        <v>73.848052978515625</v>
      </c>
      <c r="AE166" s="42">
        <v>77.674491882324219</v>
      </c>
      <c r="AF166" s="42">
        <v>320.25900268554688</v>
      </c>
      <c r="AG166" s="42">
        <v>69.167030334472656</v>
      </c>
      <c r="AH166" s="42">
        <v>61.10498046875</v>
      </c>
      <c r="AI166" s="42">
        <v>72.341438293457031</v>
      </c>
      <c r="AJ166" s="42">
        <v>49.259040832519531</v>
      </c>
      <c r="AK166" s="42">
        <v>22.79000091552734</v>
      </c>
      <c r="AL166" s="42">
        <v>56.009635925292969</v>
      </c>
      <c r="AM166" s="42">
        <v>142.6200866699219</v>
      </c>
      <c r="AN166" s="42">
        <v>404.424072265625</v>
      </c>
      <c r="AO166" s="42">
        <v>23.760000228881839</v>
      </c>
      <c r="AP166" s="42">
        <v>112.86744689941411</v>
      </c>
      <c r="AQ166" s="42">
        <v>65.338752746582031</v>
      </c>
      <c r="AR166" s="42">
        <v>107.4812469482422</v>
      </c>
      <c r="AS166" s="42">
        <v>818.76361083984375</v>
      </c>
      <c r="AT166" s="42">
        <v>264.5853271484375</v>
      </c>
      <c r="AU166" s="42">
        <v>88.944358825683594</v>
      </c>
      <c r="AV166" s="42">
        <v>154.2340087890625</v>
      </c>
      <c r="AW166" s="42">
        <v>448.55941772460938</v>
      </c>
      <c r="AX166" s="42">
        <v>206.46293640136719</v>
      </c>
      <c r="AY166" s="42">
        <v>52.522727966308587</v>
      </c>
      <c r="AZ166" s="42">
        <v>4507.66015625</v>
      </c>
    </row>
    <row r="167" spans="1:52" ht="16" x14ac:dyDescent="0.2">
      <c r="A167" s="39">
        <v>45170</v>
      </c>
      <c r="B167" s="40">
        <v>168.9252624511719</v>
      </c>
      <c r="C167" s="40">
        <v>90.9853515625</v>
      </c>
      <c r="D167" s="40">
        <v>509.89999389648438</v>
      </c>
      <c r="E167" s="40">
        <v>85.19000244140625</v>
      </c>
      <c r="F167" s="40">
        <v>245.65577697753909</v>
      </c>
      <c r="G167" s="40">
        <v>127.120002746582</v>
      </c>
      <c r="H167" s="40">
        <v>261.73324584960938</v>
      </c>
      <c r="I167" s="40">
        <v>37.227626800537109</v>
      </c>
      <c r="J167" s="40">
        <v>542.94287109375</v>
      </c>
      <c r="K167" s="40">
        <v>49.668235778808587</v>
      </c>
      <c r="L167" s="40">
        <v>148.73773193359381</v>
      </c>
      <c r="M167" s="40">
        <v>78.583099365234375</v>
      </c>
      <c r="N167" s="40">
        <v>164.67799377441409</v>
      </c>
      <c r="O167" s="40">
        <v>91.604469299316406</v>
      </c>
      <c r="P167" s="40">
        <v>113.9799346923828</v>
      </c>
      <c r="Q167" s="40">
        <v>21.85000038146973</v>
      </c>
      <c r="R167" s="40">
        <v>161.13999938964841</v>
      </c>
      <c r="S167" s="40">
        <v>208.2102966308594</v>
      </c>
      <c r="T167" s="40">
        <v>86.863639831542969</v>
      </c>
      <c r="U167" s="40">
        <v>129.62652587890619</v>
      </c>
      <c r="V167" s="40">
        <v>302.64712524414062</v>
      </c>
      <c r="W167" s="40">
        <v>279.76840209960938</v>
      </c>
      <c r="X167" s="40">
        <v>57.770000457763672</v>
      </c>
      <c r="Y167" s="40">
        <v>143.02217102050781</v>
      </c>
      <c r="Z167" s="40">
        <v>135.75787353515619</v>
      </c>
      <c r="AA167" s="40">
        <v>51.656414031982422</v>
      </c>
      <c r="AB167" s="40">
        <v>113.61228179931641</v>
      </c>
      <c r="AC167" s="40">
        <v>245.04396057128909</v>
      </c>
      <c r="AD167" s="40">
        <v>71.609283447265625</v>
      </c>
      <c r="AE167" s="40">
        <v>74.500015258789062</v>
      </c>
      <c r="AF167" s="40">
        <v>308.5238037109375</v>
      </c>
      <c r="AG167" s="40">
        <v>67.278152465820312</v>
      </c>
      <c r="AH167" s="40">
        <v>52.405754089355469</v>
      </c>
      <c r="AI167" s="40">
        <v>71.568031311035156</v>
      </c>
      <c r="AJ167" s="40">
        <v>43.418003082275391</v>
      </c>
      <c r="AK167" s="40">
        <v>25.719999313354489</v>
      </c>
      <c r="AL167" s="40">
        <v>54.489131927490227</v>
      </c>
      <c r="AM167" s="40">
        <v>134.78401184082031</v>
      </c>
      <c r="AN167" s="40">
        <v>377.86343383789062</v>
      </c>
      <c r="AO167" s="40">
        <v>20.20999908447266</v>
      </c>
      <c r="AP167" s="40">
        <v>102.69004058837891</v>
      </c>
      <c r="AQ167" s="40">
        <v>62.523609161376953</v>
      </c>
      <c r="AR167" s="40">
        <v>104.22483062744141</v>
      </c>
      <c r="AS167" s="40">
        <v>815.2666015625</v>
      </c>
      <c r="AT167" s="40">
        <v>248.35307312011719</v>
      </c>
      <c r="AU167" s="40">
        <v>85.481979370117188</v>
      </c>
      <c r="AV167" s="40">
        <v>145.9285583496094</v>
      </c>
      <c r="AW167" s="40">
        <v>476.3935546875</v>
      </c>
      <c r="AX167" s="40">
        <v>190.60636901855469</v>
      </c>
      <c r="AY167" s="40">
        <v>51.657089233398438</v>
      </c>
      <c r="AZ167" s="40">
        <v>4288.0498046875</v>
      </c>
    </row>
    <row r="168" spans="1:52" ht="16" x14ac:dyDescent="0.2">
      <c r="A168" s="41">
        <v>45200</v>
      </c>
      <c r="B168" s="42">
        <v>168.49114990234381</v>
      </c>
      <c r="C168" s="42">
        <v>89.316337585449219</v>
      </c>
      <c r="D168" s="42">
        <v>532.05999755859375</v>
      </c>
      <c r="E168" s="42">
        <v>78.900001525878906</v>
      </c>
      <c r="F168" s="42">
        <v>233.71852111816409</v>
      </c>
      <c r="G168" s="42">
        <v>133.0899963378906</v>
      </c>
      <c r="H168" s="42">
        <v>217.84071350097659</v>
      </c>
      <c r="I168" s="42">
        <v>34.894317626953118</v>
      </c>
      <c r="J168" s="42">
        <v>530.91082763671875</v>
      </c>
      <c r="K168" s="42">
        <v>48.510143280029297</v>
      </c>
      <c r="L168" s="42">
        <v>128.54673767089841</v>
      </c>
      <c r="M168" s="42">
        <v>79.106666564941406</v>
      </c>
      <c r="N168" s="42">
        <v>163.06427001953119</v>
      </c>
      <c r="O168" s="42">
        <v>84.395256042480469</v>
      </c>
      <c r="P168" s="42">
        <v>114.22544860839839</v>
      </c>
      <c r="Q168" s="42">
        <v>20.590000152587891</v>
      </c>
      <c r="R168" s="42">
        <v>151.5899963378906</v>
      </c>
      <c r="S168" s="42">
        <v>228.7524719238281</v>
      </c>
      <c r="T168" s="42">
        <v>85.355018615722656</v>
      </c>
      <c r="U168" s="42">
        <v>122.91041564941411</v>
      </c>
      <c r="V168" s="42">
        <v>283.97772216796881</v>
      </c>
      <c r="W168" s="42">
        <v>263.593017578125</v>
      </c>
      <c r="X168" s="42">
        <v>53.930000305175781</v>
      </c>
      <c r="Y168" s="42">
        <v>136.21772766113281</v>
      </c>
      <c r="Z168" s="42">
        <v>131.13908386230469</v>
      </c>
      <c r="AA168" s="42">
        <v>52.127025604248047</v>
      </c>
      <c r="AB168" s="42">
        <v>120.6020202636719</v>
      </c>
      <c r="AC168" s="42">
        <v>243.86265563964841</v>
      </c>
      <c r="AD168" s="42">
        <v>64.481246948242188</v>
      </c>
      <c r="AE168" s="42">
        <v>65.392082214355469</v>
      </c>
      <c r="AF168" s="42">
        <v>330.37222290039062</v>
      </c>
      <c r="AG168" s="42">
        <v>66.241287231445312</v>
      </c>
      <c r="AH168" s="42">
        <v>53.329643249511719</v>
      </c>
      <c r="AI168" s="42">
        <v>69.102867126464844</v>
      </c>
      <c r="AJ168" s="42">
        <v>40.704063415527337</v>
      </c>
      <c r="AK168" s="42">
        <v>21.989999771118161</v>
      </c>
      <c r="AL168" s="42">
        <v>56.836936950683587</v>
      </c>
      <c r="AM168" s="42">
        <v>139.51240539550781</v>
      </c>
      <c r="AN168" s="42">
        <v>357.87017822265619</v>
      </c>
      <c r="AO168" s="42">
        <v>18.360000610351559</v>
      </c>
      <c r="AP168" s="42">
        <v>92.202316284179688</v>
      </c>
      <c r="AQ168" s="42">
        <v>61.519611358642578</v>
      </c>
      <c r="AR168" s="42">
        <v>102.2822265625</v>
      </c>
      <c r="AS168" s="42">
        <v>772.59918212890625</v>
      </c>
      <c r="AT168" s="42">
        <v>231.95521545410159</v>
      </c>
      <c r="AU168" s="42">
        <v>84.702964782714844</v>
      </c>
      <c r="AV168" s="42">
        <v>131.5217590332031</v>
      </c>
      <c r="AW168" s="42">
        <v>506.03408813476562</v>
      </c>
      <c r="AX168" s="42">
        <v>194.331787109375</v>
      </c>
      <c r="AY168" s="42">
        <v>52.781120300292969</v>
      </c>
      <c r="AZ168" s="42">
        <v>4193.7998046875</v>
      </c>
    </row>
    <row r="169" spans="1:52" ht="16" x14ac:dyDescent="0.2">
      <c r="A169" s="39">
        <v>45231</v>
      </c>
      <c r="B169" s="40">
        <v>187.662109375</v>
      </c>
      <c r="C169" s="40">
        <v>98.517173767089844</v>
      </c>
      <c r="D169" s="40">
        <v>611.010009765625</v>
      </c>
      <c r="E169" s="40">
        <v>87.199996948242188</v>
      </c>
      <c r="F169" s="40">
        <v>248.39796447753909</v>
      </c>
      <c r="G169" s="40">
        <v>146.0899963378906</v>
      </c>
      <c r="H169" s="40">
        <v>241.61480712890619</v>
      </c>
      <c r="I169" s="40">
        <v>35.401374816894531</v>
      </c>
      <c r="J169" s="40">
        <v>570.685546875</v>
      </c>
      <c r="K169" s="40">
        <v>45.020534515380859</v>
      </c>
      <c r="L169" s="40">
        <v>127.99570465087891</v>
      </c>
      <c r="M169" s="40">
        <v>89.868812561035156</v>
      </c>
      <c r="N169" s="40">
        <v>186.38554382324219</v>
      </c>
      <c r="O169" s="40">
        <v>84.832839965820312</v>
      </c>
      <c r="P169" s="40">
        <v>111.3483123779297</v>
      </c>
      <c r="Q169" s="40">
        <v>21.809999465942379</v>
      </c>
      <c r="R169" s="40">
        <v>171.19000244140619</v>
      </c>
      <c r="S169" s="40">
        <v>234.117919921875</v>
      </c>
      <c r="T169" s="40">
        <v>95.703216552734375</v>
      </c>
      <c r="U169" s="40">
        <v>131.28074645996091</v>
      </c>
      <c r="V169" s="40">
        <v>322.07833862304688</v>
      </c>
      <c r="W169" s="40">
        <v>292.20782470703119</v>
      </c>
      <c r="X169" s="40">
        <v>54.340000152587891</v>
      </c>
      <c r="Y169" s="40">
        <v>143.15858459472659</v>
      </c>
      <c r="Z169" s="40">
        <v>147.1896667480469</v>
      </c>
      <c r="AA169" s="40">
        <v>54.355815887451172</v>
      </c>
      <c r="AB169" s="40">
        <v>115.4999694824219</v>
      </c>
      <c r="AC169" s="40">
        <v>263.72994995117188</v>
      </c>
      <c r="AD169" s="40">
        <v>72.440879821777344</v>
      </c>
      <c r="AE169" s="40">
        <v>73.259086608886719</v>
      </c>
      <c r="AF169" s="40">
        <v>370.98989868164062</v>
      </c>
      <c r="AG169" s="40">
        <v>75.404304504394531</v>
      </c>
      <c r="AH169" s="40">
        <v>53.957263946533203</v>
      </c>
      <c r="AI169" s="40">
        <v>86.772621154785156</v>
      </c>
      <c r="AJ169" s="40">
        <v>46.682910919189453</v>
      </c>
      <c r="AK169" s="40">
        <v>20.659999847412109</v>
      </c>
      <c r="AL169" s="40">
        <v>60.018764495849609</v>
      </c>
      <c r="AM169" s="40">
        <v>142.75773620605469</v>
      </c>
      <c r="AN169" s="40">
        <v>421.72882080078119</v>
      </c>
      <c r="AO169" s="40">
        <v>21.129999160766602</v>
      </c>
      <c r="AP169" s="40">
        <v>105.1792831420898</v>
      </c>
      <c r="AQ169" s="40">
        <v>62.484237670898438</v>
      </c>
      <c r="AR169" s="40">
        <v>121.8778533935547</v>
      </c>
      <c r="AS169" s="40">
        <v>816.108642578125</v>
      </c>
      <c r="AT169" s="40">
        <v>272.10110473632812</v>
      </c>
      <c r="AU169" s="40">
        <v>85.053474426269531</v>
      </c>
      <c r="AV169" s="40">
        <v>141.4315185546875</v>
      </c>
      <c r="AW169" s="40">
        <v>522.4842529296875</v>
      </c>
      <c r="AX169" s="40">
        <v>210.8623352050781</v>
      </c>
      <c r="AY169" s="40">
        <v>50.287578582763672</v>
      </c>
      <c r="AZ169" s="40">
        <v>4567.7998046875</v>
      </c>
    </row>
    <row r="170" spans="1:52" ht="16" x14ac:dyDescent="0.2">
      <c r="A170" s="41">
        <v>45261</v>
      </c>
      <c r="B170" s="42">
        <v>190.21101379394531</v>
      </c>
      <c r="C170" s="42">
        <v>103.9772415161133</v>
      </c>
      <c r="D170" s="42">
        <v>596.5999755859375</v>
      </c>
      <c r="E170" s="42">
        <v>92.849998474121094</v>
      </c>
      <c r="F170" s="42">
        <v>265.32998657226562</v>
      </c>
      <c r="G170" s="42">
        <v>151.94000244140619</v>
      </c>
      <c r="H170" s="42">
        <v>284.93240356445312</v>
      </c>
      <c r="I170" s="42">
        <v>37.057773590087891</v>
      </c>
      <c r="J170" s="42">
        <v>649.9720458984375</v>
      </c>
      <c r="K170" s="42">
        <v>47.011940002441413</v>
      </c>
      <c r="L170" s="42">
        <v>132.9515075683594</v>
      </c>
      <c r="M170" s="42">
        <v>87.827163696289062</v>
      </c>
      <c r="N170" s="42">
        <v>193.38116455078119</v>
      </c>
      <c r="O170" s="42">
        <v>92.877159118652344</v>
      </c>
      <c r="P170" s="42">
        <v>110.8334197998047</v>
      </c>
      <c r="Q170" s="42">
        <v>23.989999771118161</v>
      </c>
      <c r="R170" s="42">
        <v>178.97999572753909</v>
      </c>
      <c r="S170" s="42">
        <v>246.15705871582031</v>
      </c>
      <c r="T170" s="42">
        <v>100.34706878662109</v>
      </c>
      <c r="U170" s="42">
        <v>138.373291015625</v>
      </c>
      <c r="V170" s="42">
        <v>363.78793334960938</v>
      </c>
      <c r="W170" s="42">
        <v>323.0234375</v>
      </c>
      <c r="X170" s="42">
        <v>62.790000915527337</v>
      </c>
      <c r="Y170" s="42">
        <v>145.08392333984381</v>
      </c>
      <c r="Z170" s="42">
        <v>160.41107177734381</v>
      </c>
      <c r="AA170" s="42">
        <v>54.811573028564453</v>
      </c>
      <c r="AB170" s="42">
        <v>125.0354309082031</v>
      </c>
      <c r="AC170" s="42">
        <v>277.45730590820312</v>
      </c>
      <c r="AD170" s="42">
        <v>75.91357421875</v>
      </c>
      <c r="AE170" s="42">
        <v>86.102973937988281</v>
      </c>
      <c r="AF170" s="42">
        <v>368.17984008789062</v>
      </c>
      <c r="AG170" s="42">
        <v>84.65081787109375</v>
      </c>
      <c r="AH170" s="42">
        <v>56.013748168945312</v>
      </c>
      <c r="AI170" s="42">
        <v>83.705818176269531</v>
      </c>
      <c r="AJ170" s="42">
        <v>49.434131622314453</v>
      </c>
      <c r="AK170" s="42">
        <v>21.280000686645511</v>
      </c>
      <c r="AL170" s="42">
        <v>61.213027954101562</v>
      </c>
      <c r="AM170" s="42">
        <v>136.2670593261719</v>
      </c>
      <c r="AN170" s="42">
        <v>448.52130126953119</v>
      </c>
      <c r="AO170" s="42">
        <v>31.370000839233398</v>
      </c>
      <c r="AP170" s="42">
        <v>122.7697067260742</v>
      </c>
      <c r="AQ170" s="42">
        <v>78.587608337402344</v>
      </c>
      <c r="AR170" s="42">
        <v>136.5920104980469</v>
      </c>
      <c r="AS170" s="42">
        <v>870.07928466796875</v>
      </c>
      <c r="AT170" s="42">
        <v>304.40579223632812</v>
      </c>
      <c r="AU170" s="42">
        <v>90.55572509765625</v>
      </c>
      <c r="AV170" s="42">
        <v>157.87054443359381</v>
      </c>
      <c r="AW170" s="42">
        <v>499.14212036132812</v>
      </c>
      <c r="AX170" s="42">
        <v>231.20091247558591</v>
      </c>
      <c r="AY170" s="42">
        <v>51.109771728515618</v>
      </c>
      <c r="AZ170" s="42">
        <v>4769.830078125</v>
      </c>
    </row>
    <row r="171" spans="1:52" ht="16" x14ac:dyDescent="0.2">
      <c r="A171" s="39">
        <v>45292</v>
      </c>
      <c r="B171" s="40">
        <v>182.17893981933591</v>
      </c>
      <c r="C171" s="40">
        <v>107.4031295776367</v>
      </c>
      <c r="D171" s="40">
        <v>617.780029296875</v>
      </c>
      <c r="E171" s="40">
        <v>86.599998474121094</v>
      </c>
      <c r="F171" s="40">
        <v>289.50286865234381</v>
      </c>
      <c r="G171" s="40">
        <v>155.19999694824219</v>
      </c>
      <c r="H171" s="40">
        <v>290.74462890625</v>
      </c>
      <c r="I171" s="40">
        <v>39.592948913574219</v>
      </c>
      <c r="J171" s="40">
        <v>684.2391357421875</v>
      </c>
      <c r="K171" s="40">
        <v>47.058902740478523</v>
      </c>
      <c r="L171" s="40">
        <v>131.40950012207031</v>
      </c>
      <c r="M171" s="40">
        <v>93.4300537109375</v>
      </c>
      <c r="N171" s="40">
        <v>193.2544250488281</v>
      </c>
      <c r="O171" s="40">
        <v>87.533363342285156</v>
      </c>
      <c r="P171" s="40">
        <v>105.09641265869141</v>
      </c>
      <c r="Q171" s="40">
        <v>21.760000228881839</v>
      </c>
      <c r="R171" s="40">
        <v>183.69999694824219</v>
      </c>
      <c r="S171" s="40">
        <v>252.5337219238281</v>
      </c>
      <c r="T171" s="40">
        <v>104.1131210327148</v>
      </c>
      <c r="U171" s="40">
        <v>138.7794494628906</v>
      </c>
      <c r="V171" s="40">
        <v>362.12832641601562</v>
      </c>
      <c r="W171" s="40">
        <v>328.998291015625</v>
      </c>
      <c r="X171" s="40">
        <v>58.770000457763672</v>
      </c>
      <c r="Y171" s="40">
        <v>147.083251953125</v>
      </c>
      <c r="Z171" s="40">
        <v>165.4423522949219</v>
      </c>
      <c r="AA171" s="40">
        <v>55.332443237304688</v>
      </c>
      <c r="AB171" s="40">
        <v>125.9550857543945</v>
      </c>
      <c r="AC171" s="40">
        <v>273.91079711914062</v>
      </c>
      <c r="AD171" s="40">
        <v>80.668548583984375</v>
      </c>
      <c r="AE171" s="40">
        <v>81.342697143554688</v>
      </c>
      <c r="AF171" s="40">
        <v>389.2696533203125</v>
      </c>
      <c r="AG171" s="40">
        <v>85.057502746582031</v>
      </c>
      <c r="AH171" s="40">
        <v>54.06793212890625</v>
      </c>
      <c r="AI171" s="40">
        <v>83.276725769042969</v>
      </c>
      <c r="AJ171" s="40">
        <v>61.417831420898438</v>
      </c>
      <c r="AK171" s="40">
        <v>20.780000686645511</v>
      </c>
      <c r="AL171" s="40">
        <v>60.343822479248047</v>
      </c>
      <c r="AM171" s="40">
        <v>147.04681396484381</v>
      </c>
      <c r="AN171" s="40">
        <v>452.22085571289062</v>
      </c>
      <c r="AO171" s="40">
        <v>29.219999313354489</v>
      </c>
      <c r="AP171" s="40">
        <v>116.68186950683589</v>
      </c>
      <c r="AQ171" s="40">
        <v>74.355056762695312</v>
      </c>
      <c r="AR171" s="40">
        <v>140.25633239746091</v>
      </c>
      <c r="AS171" s="40">
        <v>933.9664306640625</v>
      </c>
      <c r="AT171" s="40">
        <v>297.06655883789062</v>
      </c>
      <c r="AU171" s="40">
        <v>91.617576599121094</v>
      </c>
      <c r="AV171" s="40">
        <v>149.4644470214844</v>
      </c>
      <c r="AW171" s="40">
        <v>485.17678833007812</v>
      </c>
      <c r="AX171" s="40">
        <v>229.61012268066409</v>
      </c>
      <c r="AY171" s="40">
        <v>53.573677062988281</v>
      </c>
      <c r="AZ171" s="40">
        <v>4845.64990234375</v>
      </c>
    </row>
    <row r="172" spans="1:52" ht="16" x14ac:dyDescent="0.2">
      <c r="A172" s="41">
        <v>45323</v>
      </c>
      <c r="B172" s="42">
        <v>178.8007507324219</v>
      </c>
      <c r="C172" s="42">
        <v>112.6142883300781</v>
      </c>
      <c r="D172" s="42">
        <v>560.280029296875</v>
      </c>
      <c r="E172" s="42">
        <v>92.279998779296875</v>
      </c>
      <c r="F172" s="42">
        <v>254.2298583984375</v>
      </c>
      <c r="G172" s="42">
        <v>176.75999450683591</v>
      </c>
      <c r="H172" s="42">
        <v>323.32284545898438</v>
      </c>
      <c r="I172" s="42">
        <v>36.453762054443359</v>
      </c>
      <c r="J172" s="42">
        <v>733.5755615234375</v>
      </c>
      <c r="K172" s="42">
        <v>45.361480712890618</v>
      </c>
      <c r="L172" s="42">
        <v>136.97027587890619</v>
      </c>
      <c r="M172" s="42">
        <v>108.5364456176758</v>
      </c>
      <c r="N172" s="42">
        <v>219.2075500488281</v>
      </c>
      <c r="O172" s="42">
        <v>102.4679718017578</v>
      </c>
      <c r="P172" s="42">
        <v>105.71523284912109</v>
      </c>
      <c r="Q172" s="42">
        <v>21.89999961853027</v>
      </c>
      <c r="R172" s="42">
        <v>187.2200012207031</v>
      </c>
      <c r="S172" s="42">
        <v>260.40542602539062</v>
      </c>
      <c r="T172" s="42">
        <v>123.35227203369141</v>
      </c>
      <c r="U172" s="42">
        <v>137.1548767089844</v>
      </c>
      <c r="V172" s="42">
        <v>369.48095703125</v>
      </c>
      <c r="W172" s="42">
        <v>354.77108764648438</v>
      </c>
      <c r="X172" s="42">
        <v>58.360000610351562</v>
      </c>
      <c r="Y172" s="42">
        <v>150.5130310058594</v>
      </c>
      <c r="Z172" s="42">
        <v>176.54393005371091</v>
      </c>
      <c r="AA172" s="42">
        <v>55.825393676757812</v>
      </c>
      <c r="AB172" s="42">
        <v>115.8245391845703</v>
      </c>
      <c r="AC172" s="42">
        <v>275.05511474609381</v>
      </c>
      <c r="AD172" s="42">
        <v>76.816658020019531</v>
      </c>
      <c r="AE172" s="42">
        <v>80.223823547363281</v>
      </c>
      <c r="AF172" s="42">
        <v>405.74288940429688</v>
      </c>
      <c r="AG172" s="42">
        <v>89.878265380859375</v>
      </c>
      <c r="AH172" s="42">
        <v>51.361454010009773</v>
      </c>
      <c r="AI172" s="42">
        <v>85.110359191894531</v>
      </c>
      <c r="AJ172" s="42">
        <v>78.971626281738281</v>
      </c>
      <c r="AK172" s="42">
        <v>19.760000228881839</v>
      </c>
      <c r="AL172" s="42">
        <v>66.417991638183594</v>
      </c>
      <c r="AM172" s="42">
        <v>148.7311706542969</v>
      </c>
      <c r="AN172" s="42">
        <v>522.79998779296875</v>
      </c>
      <c r="AO172" s="42">
        <v>28.79000091552734</v>
      </c>
      <c r="AP172" s="42">
        <v>122.742073059082</v>
      </c>
      <c r="AQ172" s="42">
        <v>81.097610473632812</v>
      </c>
      <c r="AR172" s="42">
        <v>149.77752685546881</v>
      </c>
      <c r="AS172" s="42">
        <v>957.05853271484375</v>
      </c>
      <c r="AT172" s="42">
        <v>324.77645874023438</v>
      </c>
      <c r="AU172" s="42">
        <v>96.027275085449219</v>
      </c>
      <c r="AV172" s="42">
        <v>156.19462585449219</v>
      </c>
      <c r="AW172" s="42">
        <v>467.9783935546875</v>
      </c>
      <c r="AX172" s="42">
        <v>240.02911376953119</v>
      </c>
      <c r="AY172" s="42">
        <v>57.003688812255859</v>
      </c>
      <c r="AZ172" s="42">
        <v>5096.27001953125</v>
      </c>
    </row>
    <row r="173" spans="1:52" ht="16" x14ac:dyDescent="0.2">
      <c r="A173" s="39">
        <v>45352</v>
      </c>
      <c r="B173" s="40">
        <v>169.63075256347659</v>
      </c>
      <c r="C173" s="40">
        <v>107.88720703125</v>
      </c>
      <c r="D173" s="40">
        <v>504.60000610351562</v>
      </c>
      <c r="E173" s="40">
        <v>103.3399963378906</v>
      </c>
      <c r="F173" s="40">
        <v>263.96905517578119</v>
      </c>
      <c r="G173" s="40">
        <v>180.3800048828125</v>
      </c>
      <c r="H173" s="40">
        <v>354.7586669921875</v>
      </c>
      <c r="I173" s="40">
        <v>36.879123687744141</v>
      </c>
      <c r="J173" s="40">
        <v>722.47161865234375</v>
      </c>
      <c r="K173" s="40">
        <v>46.805690765380859</v>
      </c>
      <c r="L173" s="40">
        <v>142.13337707519531</v>
      </c>
      <c r="M173" s="40">
        <v>119.0223922729492</v>
      </c>
      <c r="N173" s="40">
        <v>225.68321228027341</v>
      </c>
      <c r="O173" s="40">
        <v>108.76853179931641</v>
      </c>
      <c r="P173" s="40">
        <v>118.0730056762695</v>
      </c>
      <c r="Q173" s="40">
        <v>23.729999542236332</v>
      </c>
      <c r="R173" s="40">
        <v>189.5899963378906</v>
      </c>
      <c r="S173" s="40">
        <v>269.21109008789062</v>
      </c>
      <c r="T173" s="40">
        <v>138.0076599121094</v>
      </c>
      <c r="U173" s="40">
        <v>149.50733947753909</v>
      </c>
      <c r="V173" s="40">
        <v>396.68045043945312</v>
      </c>
      <c r="W173" s="40">
        <v>359.69671630859381</v>
      </c>
      <c r="X173" s="40">
        <v>56.970001220703118</v>
      </c>
      <c r="Y173" s="40">
        <v>147.53782653808591</v>
      </c>
      <c r="Z173" s="40">
        <v>190.05564880371091</v>
      </c>
      <c r="AA173" s="40">
        <v>57.359489440917969</v>
      </c>
      <c r="AB173" s="40">
        <v>114.2227401733398</v>
      </c>
      <c r="AC173" s="40">
        <v>265.33392333984381</v>
      </c>
      <c r="AD173" s="40">
        <v>80.973976135253906</v>
      </c>
      <c r="AE173" s="40">
        <v>87.794921875</v>
      </c>
      <c r="AF173" s="40">
        <v>412.68768310546881</v>
      </c>
      <c r="AG173" s="40">
        <v>117.0508270263672</v>
      </c>
      <c r="AH173" s="40">
        <v>59.476539611816413</v>
      </c>
      <c r="AI173" s="40">
        <v>100.2472457885742</v>
      </c>
      <c r="AJ173" s="40">
        <v>90.199913024902344</v>
      </c>
      <c r="AK173" s="40">
        <v>23.39999961853027</v>
      </c>
      <c r="AL173" s="40">
        <v>70.883003234863281</v>
      </c>
      <c r="AM173" s="40">
        <v>151.8285827636719</v>
      </c>
      <c r="AN173" s="40">
        <v>542.65948486328125</v>
      </c>
      <c r="AO173" s="40">
        <v>28.319999694824219</v>
      </c>
      <c r="AP173" s="40">
        <v>120.8201141357422</v>
      </c>
      <c r="AQ173" s="40">
        <v>77.308006286621094</v>
      </c>
      <c r="AR173" s="40">
        <v>160.70306396484381</v>
      </c>
      <c r="AS173" s="40">
        <v>953.49212646484375</v>
      </c>
      <c r="AT173" s="40">
        <v>339.7421875</v>
      </c>
      <c r="AU173" s="40">
        <v>98.235694885253906</v>
      </c>
      <c r="AV173" s="40">
        <v>162.6167907714844</v>
      </c>
      <c r="AW173" s="40">
        <v>470.87030029296881</v>
      </c>
      <c r="AX173" s="40">
        <v>232.68699645996091</v>
      </c>
      <c r="AY173" s="40">
        <v>58.720245361328118</v>
      </c>
      <c r="AZ173" s="40">
        <v>5254.35009765625</v>
      </c>
    </row>
    <row r="174" spans="1:52" ht="16" x14ac:dyDescent="0.2">
      <c r="A174" s="41">
        <v>45383</v>
      </c>
      <c r="B174" s="42">
        <v>168.4931640625</v>
      </c>
      <c r="C174" s="42">
        <v>101.0866394042969</v>
      </c>
      <c r="D174" s="42">
        <v>462.82998657226562</v>
      </c>
      <c r="E174" s="42">
        <v>96.150001525878906</v>
      </c>
      <c r="F174" s="42">
        <v>254.33204650878909</v>
      </c>
      <c r="G174" s="42">
        <v>175</v>
      </c>
      <c r="H174" s="42">
        <v>325.09414672851562</v>
      </c>
      <c r="I174" s="42">
        <v>32.660778045654297</v>
      </c>
      <c r="J174" s="42">
        <v>714.020751953125</v>
      </c>
      <c r="K174" s="42">
        <v>44.417877197265618</v>
      </c>
      <c r="L174" s="42">
        <v>145.31410217285159</v>
      </c>
      <c r="M174" s="42">
        <v>108.0695343017578</v>
      </c>
      <c r="N174" s="42">
        <v>221.04052734375</v>
      </c>
      <c r="O174" s="42">
        <v>103.35984802246089</v>
      </c>
      <c r="P174" s="42">
        <v>122.8616561889648</v>
      </c>
      <c r="Q174" s="42">
        <v>23.45999908447266</v>
      </c>
      <c r="R174" s="42">
        <v>165.30999755859381</v>
      </c>
      <c r="S174" s="42">
        <v>274.94097900390619</v>
      </c>
      <c r="T174" s="42">
        <v>159.70079040527341</v>
      </c>
      <c r="U174" s="42">
        <v>161.24565124511719</v>
      </c>
      <c r="V174" s="42">
        <v>405.24673461914062</v>
      </c>
      <c r="W174" s="42">
        <v>313.39373779296881</v>
      </c>
      <c r="X174" s="42">
        <v>52.049999237060547</v>
      </c>
      <c r="Y174" s="42">
        <v>134.85362243652341</v>
      </c>
      <c r="Z174" s="42">
        <v>182.99467468261719</v>
      </c>
      <c r="AA174" s="42">
        <v>57.912639617919922</v>
      </c>
      <c r="AB174" s="42">
        <v>112.75685119628911</v>
      </c>
      <c r="AC174" s="42">
        <v>256.94906616210938</v>
      </c>
      <c r="AD174" s="42">
        <v>74.553665161132812</v>
      </c>
      <c r="AE174" s="42">
        <v>85.482063293457031</v>
      </c>
      <c r="AF174" s="42">
        <v>381.89697265625</v>
      </c>
      <c r="AG174" s="42">
        <v>112.1559371948242</v>
      </c>
      <c r="AH174" s="42">
        <v>62.324272155761719</v>
      </c>
      <c r="AI174" s="42">
        <v>98.071937561035156</v>
      </c>
      <c r="AJ174" s="42">
        <v>86.25274658203125</v>
      </c>
      <c r="AK174" s="42">
        <v>22.909999847412109</v>
      </c>
      <c r="AL174" s="42">
        <v>70.815704345703125</v>
      </c>
      <c r="AM174" s="42">
        <v>153.70365905761719</v>
      </c>
      <c r="AN174" s="42">
        <v>532.03656005859375</v>
      </c>
      <c r="AO174" s="42">
        <v>27.409999847412109</v>
      </c>
      <c r="AP174" s="42">
        <v>94.683563232421875</v>
      </c>
      <c r="AQ174" s="42">
        <v>75.674041748046875</v>
      </c>
      <c r="AR174" s="42">
        <v>157.42826843261719</v>
      </c>
      <c r="AS174" s="42">
        <v>882.33367919921875</v>
      </c>
      <c r="AT174" s="42">
        <v>293.06463623046881</v>
      </c>
      <c r="AU174" s="42">
        <v>91.135833740234375</v>
      </c>
      <c r="AV174" s="42">
        <v>164.67973327636719</v>
      </c>
      <c r="AW174" s="42">
        <v>460.400146484375</v>
      </c>
      <c r="AX174" s="42">
        <v>224.38922119140619</v>
      </c>
      <c r="AY174" s="42">
        <v>57.920001983642578</v>
      </c>
      <c r="AZ174" s="42">
        <v>5035.68994140625</v>
      </c>
    </row>
    <row r="175" spans="1:52" ht="16" x14ac:dyDescent="0.2">
      <c r="A175" s="39">
        <v>45413</v>
      </c>
      <c r="B175" s="40">
        <v>190.4346923828125</v>
      </c>
      <c r="C175" s="40">
        <v>97.480842590332031</v>
      </c>
      <c r="D175" s="40">
        <v>444.760009765625</v>
      </c>
      <c r="E175" s="40">
        <v>114.80999755859381</v>
      </c>
      <c r="F175" s="40">
        <v>285.974853515625</v>
      </c>
      <c r="G175" s="40">
        <v>176.44000244140619</v>
      </c>
      <c r="H175" s="40">
        <v>328.93231201171881</v>
      </c>
      <c r="I175" s="40">
        <v>34.306236267089837</v>
      </c>
      <c r="J175" s="40">
        <v>799.9422607421875</v>
      </c>
      <c r="K175" s="40">
        <v>43.964065551757812</v>
      </c>
      <c r="L175" s="40">
        <v>147.71893310546881</v>
      </c>
      <c r="M175" s="40">
        <v>101.07566070556641</v>
      </c>
      <c r="N175" s="40">
        <v>226.95384216308591</v>
      </c>
      <c r="O175" s="40">
        <v>108.0542831420898</v>
      </c>
      <c r="P175" s="40">
        <v>115.813346862793</v>
      </c>
      <c r="Q175" s="40">
        <v>21.690000534057621</v>
      </c>
      <c r="R175" s="40">
        <v>168.9700012207031</v>
      </c>
      <c r="S175" s="40">
        <v>287.0843505859375</v>
      </c>
      <c r="T175" s="40">
        <v>162.977294921875</v>
      </c>
      <c r="U175" s="40">
        <v>170.8739929199219</v>
      </c>
      <c r="V175" s="40">
        <v>436.18099975585938</v>
      </c>
      <c r="W175" s="40">
        <v>316.18612670898438</v>
      </c>
      <c r="X175" s="40">
        <v>57.790000915527337</v>
      </c>
      <c r="Y175" s="40">
        <v>137.89930725097659</v>
      </c>
      <c r="Z175" s="40">
        <v>193.38798522949219</v>
      </c>
      <c r="AA175" s="40">
        <v>59.000202178955078</v>
      </c>
      <c r="AB175" s="40">
        <v>111.79747009277339</v>
      </c>
      <c r="AC175" s="40">
        <v>243.6329345703125</v>
      </c>
      <c r="AD175" s="40">
        <v>75.603591918945312</v>
      </c>
      <c r="AE175" s="40">
        <v>92.069190979003906</v>
      </c>
      <c r="AF175" s="40">
        <v>407.93893432617188</v>
      </c>
      <c r="AG175" s="40">
        <v>124.11021423339839</v>
      </c>
      <c r="AH175" s="40">
        <v>74.468986511230469</v>
      </c>
      <c r="AI175" s="40">
        <v>115.5542831420898</v>
      </c>
      <c r="AJ175" s="40">
        <v>109.4436111450195</v>
      </c>
      <c r="AK175" s="40">
        <v>23.680000305175781</v>
      </c>
      <c r="AL175" s="40">
        <v>72.498374938964844</v>
      </c>
      <c r="AM175" s="40">
        <v>154.9656982421875</v>
      </c>
      <c r="AN175" s="40">
        <v>520.49176025390625</v>
      </c>
      <c r="AO175" s="40">
        <v>27.35000038146973</v>
      </c>
      <c r="AP175" s="40">
        <v>102.5143203735352</v>
      </c>
      <c r="AQ175" s="40">
        <v>73.666038513183594</v>
      </c>
      <c r="AR175" s="40">
        <v>194.48223876953119</v>
      </c>
      <c r="AS175" s="40">
        <v>970.99688720703125</v>
      </c>
      <c r="AT175" s="40">
        <v>297.83624267578119</v>
      </c>
      <c r="AU175" s="40">
        <v>100.2424850463867</v>
      </c>
      <c r="AV175" s="40">
        <v>183.34458923339841</v>
      </c>
      <c r="AW175" s="40">
        <v>471.50796508789062</v>
      </c>
      <c r="AX175" s="40">
        <v>221.5392761230469</v>
      </c>
      <c r="AY175" s="40">
        <v>64.397697448730469</v>
      </c>
      <c r="AZ175" s="40">
        <v>5277.509765625</v>
      </c>
    </row>
    <row r="176" spans="1:52" ht="16" x14ac:dyDescent="0.2">
      <c r="A176" s="41">
        <v>45444</v>
      </c>
      <c r="B176" s="42">
        <v>208.63124084472659</v>
      </c>
      <c r="C176" s="42">
        <v>99.121574401855469</v>
      </c>
      <c r="D176" s="42">
        <v>555.53997802734375</v>
      </c>
      <c r="E176" s="42">
        <v>116.11000061035161</v>
      </c>
      <c r="F176" s="42">
        <v>292.14593505859381</v>
      </c>
      <c r="G176" s="42">
        <v>193.25</v>
      </c>
      <c r="H176" s="42">
        <v>323.66580200195312</v>
      </c>
      <c r="I176" s="42">
        <v>33.560630798339837</v>
      </c>
      <c r="J176" s="42">
        <v>839.5496826171875</v>
      </c>
      <c r="K176" s="42">
        <v>44.918975830078118</v>
      </c>
      <c r="L176" s="42">
        <v>142.36720275878909</v>
      </c>
      <c r="M176" s="42">
        <v>96.581680297851562</v>
      </c>
      <c r="N176" s="42">
        <v>233.1693115234375</v>
      </c>
      <c r="O176" s="42">
        <v>106.12750244140619</v>
      </c>
      <c r="P176" s="42">
        <v>117.04075622558589</v>
      </c>
      <c r="Q176" s="42">
        <v>22.469999313354489</v>
      </c>
      <c r="R176" s="42">
        <v>172.22999572753909</v>
      </c>
      <c r="S176" s="42">
        <v>277.8619384765625</v>
      </c>
      <c r="T176" s="42">
        <v>156.88807678222659</v>
      </c>
      <c r="U176" s="42">
        <v>180.64012145996091</v>
      </c>
      <c r="V176" s="42">
        <v>432.16815185546881</v>
      </c>
      <c r="W176" s="42">
        <v>325.03323364257812</v>
      </c>
      <c r="X176" s="42">
        <v>60.619998931884773</v>
      </c>
      <c r="Y176" s="42">
        <v>137.4198303222656</v>
      </c>
      <c r="Z176" s="42">
        <v>193.03483581542969</v>
      </c>
      <c r="AA176" s="42">
        <v>60.138286590576172</v>
      </c>
      <c r="AB176" s="42">
        <v>119.64527893066411</v>
      </c>
      <c r="AC176" s="42">
        <v>241.3786315917969</v>
      </c>
      <c r="AD176" s="42">
        <v>73.783149719238281</v>
      </c>
      <c r="AE176" s="42">
        <v>91.457527160644531</v>
      </c>
      <c r="AF176" s="42">
        <v>439.20773315429688</v>
      </c>
      <c r="AG176" s="42">
        <v>130.59373474121091</v>
      </c>
      <c r="AH176" s="42">
        <v>66.324745178222656</v>
      </c>
      <c r="AI176" s="42">
        <v>123.5854187011719</v>
      </c>
      <c r="AJ176" s="42">
        <v>123.3367233276367</v>
      </c>
      <c r="AK176" s="42">
        <v>23.659999847412109</v>
      </c>
      <c r="AL176" s="42">
        <v>72.990653991699219</v>
      </c>
      <c r="AM176" s="42">
        <v>155.3235778808594</v>
      </c>
      <c r="AN176" s="42">
        <v>495.315185546875</v>
      </c>
      <c r="AO176" s="42">
        <v>24.670000076293949</v>
      </c>
      <c r="AP176" s="42">
        <v>105.1014709472656</v>
      </c>
      <c r="AQ176" s="42">
        <v>72.524238586425781</v>
      </c>
      <c r="AR176" s="42">
        <v>189.840576171875</v>
      </c>
      <c r="AS176" s="42">
        <v>1041.204467773438</v>
      </c>
      <c r="AT176" s="42">
        <v>292.5716552734375</v>
      </c>
      <c r="AU176" s="42">
        <v>107.0484619140625</v>
      </c>
      <c r="AV176" s="42">
        <v>182.893310546875</v>
      </c>
      <c r="AW176" s="42">
        <v>486.78524780273438</v>
      </c>
      <c r="AX176" s="42">
        <v>215.2970886230469</v>
      </c>
      <c r="AY176" s="42">
        <v>66.307296752929688</v>
      </c>
      <c r="AZ176" s="42">
        <v>5460.47998046875</v>
      </c>
    </row>
    <row r="177" spans="1:52" ht="16" x14ac:dyDescent="0.2">
      <c r="A177" s="39">
        <v>45474</v>
      </c>
      <c r="B177" s="40">
        <v>219.98304748535159</v>
      </c>
      <c r="C177" s="40">
        <v>101.59417724609381</v>
      </c>
      <c r="D177" s="40">
        <v>551.6500244140625</v>
      </c>
      <c r="E177" s="40">
        <v>121.36000061035161</v>
      </c>
      <c r="F177" s="40">
        <v>310.86495971679688</v>
      </c>
      <c r="G177" s="40">
        <v>186.97999572753909</v>
      </c>
      <c r="H177" s="40">
        <v>337.7647705078125</v>
      </c>
      <c r="I177" s="40">
        <v>35.658615112304688</v>
      </c>
      <c r="J177" s="40">
        <v>813.05938720703125</v>
      </c>
      <c r="K177" s="40">
        <v>46.200157165527337</v>
      </c>
      <c r="L177" s="40">
        <v>146.0533447265625</v>
      </c>
      <c r="M177" s="40">
        <v>91.55487060546875</v>
      </c>
      <c r="N177" s="40">
        <v>226.00764465332031</v>
      </c>
      <c r="O177" s="40">
        <v>112.8230819702148</v>
      </c>
      <c r="P177" s="40">
        <v>118.7269973754883</v>
      </c>
      <c r="Q177" s="40">
        <v>23.45000076293945</v>
      </c>
      <c r="R177" s="40">
        <v>203.63999938964841</v>
      </c>
      <c r="S177" s="40">
        <v>287.50225830078119</v>
      </c>
      <c r="T177" s="40">
        <v>168.25535583496091</v>
      </c>
      <c r="U177" s="40">
        <v>170.1180725097656</v>
      </c>
      <c r="V177" s="40">
        <v>486.3515625</v>
      </c>
      <c r="W177" s="40">
        <v>347.61868286132812</v>
      </c>
      <c r="X177" s="40">
        <v>65.069999694824219</v>
      </c>
      <c r="Y177" s="40">
        <v>148.4107666015625</v>
      </c>
      <c r="Z177" s="40">
        <v>204.2195129394531</v>
      </c>
      <c r="AA177" s="40">
        <v>63.057796478271477</v>
      </c>
      <c r="AB177" s="40">
        <v>122.6734313964844</v>
      </c>
      <c r="AC177" s="40">
        <v>251.38084411621091</v>
      </c>
      <c r="AD177" s="40">
        <v>75.292373657226562</v>
      </c>
      <c r="AE177" s="40">
        <v>97.996078491210938</v>
      </c>
      <c r="AF177" s="40">
        <v>411.10311889648438</v>
      </c>
      <c r="AG177" s="40">
        <v>109.13364410400391</v>
      </c>
      <c r="AH177" s="40">
        <v>71.551284790039062</v>
      </c>
      <c r="AI177" s="40">
        <v>122.3274383544922</v>
      </c>
      <c r="AJ177" s="40">
        <v>116.8274383544922</v>
      </c>
      <c r="AK177" s="40">
        <v>30.020000457763668</v>
      </c>
      <c r="AL177" s="40">
        <v>74.583816528320312</v>
      </c>
      <c r="AM177" s="40">
        <v>152.3162536621094</v>
      </c>
      <c r="AN177" s="40">
        <v>549.5167236328125</v>
      </c>
      <c r="AO177" s="40">
        <v>25.409999847412109</v>
      </c>
      <c r="AP177" s="40">
        <v>117.9595947265625</v>
      </c>
      <c r="AQ177" s="40">
        <v>90.478118896484375</v>
      </c>
      <c r="AR177" s="40">
        <v>172.46537780761719</v>
      </c>
      <c r="AS177" s="40">
        <v>1069.101196289062</v>
      </c>
      <c r="AT177" s="40">
        <v>343.91360473632812</v>
      </c>
      <c r="AU177" s="40">
        <v>109.88755035400391</v>
      </c>
      <c r="AV177" s="40">
        <v>192.86564636230469</v>
      </c>
      <c r="AW177" s="40">
        <v>550.73284912109375</v>
      </c>
      <c r="AX177" s="40">
        <v>234.77528381347659</v>
      </c>
      <c r="AY177" s="40">
        <v>67.218040466308594</v>
      </c>
      <c r="AZ177" s="40">
        <v>5522.2998046875</v>
      </c>
    </row>
    <row r="178" spans="1:52" ht="16" x14ac:dyDescent="0.2">
      <c r="A178" s="41">
        <v>45505</v>
      </c>
      <c r="B178" s="42">
        <v>227.1002502441406</v>
      </c>
      <c r="C178" s="42">
        <v>108.6234893798828</v>
      </c>
      <c r="D178" s="42">
        <v>574.40997314453125</v>
      </c>
      <c r="E178" s="42">
        <v>133.00999450683591</v>
      </c>
      <c r="F178" s="42">
        <v>314.3099365234375</v>
      </c>
      <c r="G178" s="42">
        <v>178.5</v>
      </c>
      <c r="H178" s="42">
        <v>347.42355346679688</v>
      </c>
      <c r="I178" s="42">
        <v>34.18975830078125</v>
      </c>
      <c r="J178" s="42">
        <v>882.67388916015625</v>
      </c>
      <c r="K178" s="42">
        <v>48.193099975585938</v>
      </c>
      <c r="L178" s="42">
        <v>136.16522216796881</v>
      </c>
      <c r="M178" s="42">
        <v>88.320304870605469</v>
      </c>
      <c r="N178" s="42">
        <v>248.04119873046881</v>
      </c>
      <c r="O178" s="42">
        <v>102.0458145141602</v>
      </c>
      <c r="P178" s="42">
        <v>120.618408203125</v>
      </c>
      <c r="Q178" s="42">
        <v>26.030000686645511</v>
      </c>
      <c r="R178" s="42">
        <v>203.1499938964844</v>
      </c>
      <c r="S178" s="42">
        <v>288.12786865234381</v>
      </c>
      <c r="T178" s="42">
        <v>172.62483215332031</v>
      </c>
      <c r="U178" s="42">
        <v>162.02574157714841</v>
      </c>
      <c r="V178" s="42">
        <v>490.4013671875</v>
      </c>
      <c r="W178" s="42">
        <v>350.0531005859375</v>
      </c>
      <c r="X178" s="42">
        <v>65.660003662109375</v>
      </c>
      <c r="Y178" s="42">
        <v>157.12541198730469</v>
      </c>
      <c r="Z178" s="42">
        <v>215.73561096191409</v>
      </c>
      <c r="AA178" s="42">
        <v>68.471664428710938</v>
      </c>
      <c r="AB178" s="42">
        <v>121.14515686035161</v>
      </c>
      <c r="AC178" s="42">
        <v>273.41217041015619</v>
      </c>
      <c r="AD178" s="42">
        <v>83.03533935546875</v>
      </c>
      <c r="AE178" s="42">
        <v>98.375869750976562</v>
      </c>
      <c r="AF178" s="42">
        <v>410.65292358398438</v>
      </c>
      <c r="AG178" s="42">
        <v>95.638519287109375</v>
      </c>
      <c r="AH178" s="42">
        <v>75.898735046386719</v>
      </c>
      <c r="AI178" s="42">
        <v>116.2967987060547</v>
      </c>
      <c r="AJ178" s="42">
        <v>119.1735763549805</v>
      </c>
      <c r="AK178" s="42">
        <v>26.989999771118161</v>
      </c>
      <c r="AL178" s="42">
        <v>83.659965515136719</v>
      </c>
      <c r="AM178" s="42">
        <v>162.5300598144531</v>
      </c>
      <c r="AN178" s="42">
        <v>589.37481689453125</v>
      </c>
      <c r="AO178" s="42">
        <v>25.860000610351559</v>
      </c>
      <c r="AP178" s="42">
        <v>119.61598205566411</v>
      </c>
      <c r="AQ178" s="42">
        <v>94.454742431640625</v>
      </c>
      <c r="AR178" s="42">
        <v>167.0802917480469</v>
      </c>
      <c r="AS178" s="42">
        <v>1173.614868164062</v>
      </c>
      <c r="AT178" s="42">
        <v>362.84689331054688</v>
      </c>
      <c r="AU178" s="42">
        <v>114.4130859375</v>
      </c>
      <c r="AV178" s="42">
        <v>202.83018493652341</v>
      </c>
      <c r="AW178" s="42">
        <v>564.15313720703125</v>
      </c>
      <c r="AX178" s="42">
        <v>244.97828674316409</v>
      </c>
      <c r="AY178" s="42">
        <v>75.845664978027344</v>
      </c>
      <c r="AZ178" s="42">
        <v>5648.39990234375</v>
      </c>
    </row>
    <row r="179" spans="1:52" ht="16" x14ac:dyDescent="0.2">
      <c r="A179" s="39">
        <v>45536</v>
      </c>
      <c r="B179" s="40">
        <v>231.06707763671881</v>
      </c>
      <c r="C179" s="40">
        <v>109.333137512207</v>
      </c>
      <c r="D179" s="40">
        <v>517.780029296875</v>
      </c>
      <c r="E179" s="40">
        <v>133.0299987792969</v>
      </c>
      <c r="F179" s="40">
        <v>303.36941528320312</v>
      </c>
      <c r="G179" s="40">
        <v>186.33000183105469</v>
      </c>
      <c r="H179" s="40">
        <v>381.59027099609381</v>
      </c>
      <c r="I179" s="40">
        <v>36.090625762939453</v>
      </c>
      <c r="J179" s="40">
        <v>876.87762451171875</v>
      </c>
      <c r="K179" s="40">
        <v>50.748649597167969</v>
      </c>
      <c r="L179" s="40">
        <v>135.53938293457031</v>
      </c>
      <c r="M179" s="40">
        <v>93.997901916503906</v>
      </c>
      <c r="N179" s="40">
        <v>250.71197509765619</v>
      </c>
      <c r="O179" s="40">
        <v>105.89951324462891</v>
      </c>
      <c r="P179" s="40">
        <v>115.10340881347661</v>
      </c>
      <c r="Q179" s="40">
        <v>25.95000076293945</v>
      </c>
      <c r="R179" s="40">
        <v>220.19999694824219</v>
      </c>
      <c r="S179" s="40">
        <v>290.861328125</v>
      </c>
      <c r="T179" s="40">
        <v>186.7014465332031</v>
      </c>
      <c r="U179" s="40">
        <v>164.69349670410159</v>
      </c>
      <c r="V179" s="40">
        <v>475.85028076171881</v>
      </c>
      <c r="W179" s="40">
        <v>384.91586303710938</v>
      </c>
      <c r="X179" s="40">
        <v>66.099998474121094</v>
      </c>
      <c r="Y179" s="40">
        <v>153.5255126953125</v>
      </c>
      <c r="Z179" s="40">
        <v>202.35771179199219</v>
      </c>
      <c r="AA179" s="40">
        <v>68.360786437988281</v>
      </c>
      <c r="AB179" s="40">
        <v>121.72132873535161</v>
      </c>
      <c r="AC179" s="40">
        <v>290.10330200195312</v>
      </c>
      <c r="AD179" s="40">
        <v>85.060226440429688</v>
      </c>
      <c r="AE179" s="40">
        <v>98.974037170410156</v>
      </c>
      <c r="AF179" s="40">
        <v>423.6082763671875</v>
      </c>
      <c r="AG179" s="40">
        <v>103.0618209838867</v>
      </c>
      <c r="AH179" s="40">
        <v>79.688491821289062</v>
      </c>
      <c r="AI179" s="40">
        <v>118.9845809936523</v>
      </c>
      <c r="AJ179" s="40">
        <v>121.25054931640619</v>
      </c>
      <c r="AK179" s="40">
        <v>24.870000839233398</v>
      </c>
      <c r="AL179" s="40">
        <v>82.545814514160156</v>
      </c>
      <c r="AM179" s="40">
        <v>164.1028747558594</v>
      </c>
      <c r="AN179" s="40">
        <v>620.42449951171875</v>
      </c>
      <c r="AO179" s="40">
        <v>24.760000228881839</v>
      </c>
      <c r="AP179" s="40">
        <v>119.05413818359381</v>
      </c>
      <c r="AQ179" s="40">
        <v>96.797416687011719</v>
      </c>
      <c r="AR179" s="40">
        <v>162.91407775878909</v>
      </c>
      <c r="AS179" s="40">
        <v>1041.412475585938</v>
      </c>
      <c r="AT179" s="40">
        <v>374.92965698242188</v>
      </c>
      <c r="AU179" s="40">
        <v>114.67649078369141</v>
      </c>
      <c r="AV179" s="40">
        <v>195.47743225097659</v>
      </c>
      <c r="AW179" s="40">
        <v>560.85858154296875</v>
      </c>
      <c r="AX179" s="40">
        <v>235.78521728515619</v>
      </c>
      <c r="AY179" s="40">
        <v>79.302558898925781</v>
      </c>
      <c r="AZ179" s="40">
        <v>5762.47998046875</v>
      </c>
    </row>
    <row r="180" spans="1:52" ht="16" x14ac:dyDescent="0.2">
      <c r="A180" s="41">
        <v>45566</v>
      </c>
      <c r="B180" s="42">
        <v>224.035888671875</v>
      </c>
      <c r="C180" s="42">
        <v>109.2317810058594</v>
      </c>
      <c r="D180" s="42">
        <v>478.07998657226562</v>
      </c>
      <c r="E180" s="42">
        <v>124.4199981689453</v>
      </c>
      <c r="F180" s="42">
        <v>301.43930053710938</v>
      </c>
      <c r="G180" s="42">
        <v>186.3999938964844</v>
      </c>
      <c r="H180" s="42">
        <v>368.35247802734381</v>
      </c>
      <c r="I180" s="42">
        <v>38.014896392822273</v>
      </c>
      <c r="J180" s="42">
        <v>864.67181396484375</v>
      </c>
      <c r="K180" s="42">
        <v>52.625808715820312</v>
      </c>
      <c r="L180" s="42">
        <v>136.9659423828125</v>
      </c>
      <c r="M180" s="42">
        <v>94.007667541503906</v>
      </c>
      <c r="N180" s="42">
        <v>241.28558349609381</v>
      </c>
      <c r="O180" s="42">
        <v>104.83441162109381</v>
      </c>
      <c r="P180" s="42">
        <v>115.016960144043</v>
      </c>
      <c r="Q180" s="42">
        <v>33.200000762939453</v>
      </c>
      <c r="R180" s="42">
        <v>233.8800048828125</v>
      </c>
      <c r="S180" s="42">
        <v>282.02139282226562</v>
      </c>
      <c r="T180" s="42">
        <v>170.0688171386719</v>
      </c>
      <c r="U180" s="42">
        <v>169.91680908203119</v>
      </c>
      <c r="V180" s="42">
        <v>497.64801025390619</v>
      </c>
      <c r="W180" s="42">
        <v>374.0390625</v>
      </c>
      <c r="X180" s="42">
        <v>74.120002746582031</v>
      </c>
      <c r="Y180" s="42">
        <v>151.44139099121091</v>
      </c>
      <c r="Z180" s="42">
        <v>214.27685546875</v>
      </c>
      <c r="AA180" s="42">
        <v>62.129734039306641</v>
      </c>
      <c r="AB180" s="42">
        <v>116.8970184326172</v>
      </c>
      <c r="AC180" s="42">
        <v>278.28997802734381</v>
      </c>
      <c r="AD180" s="42">
        <v>84.323287963867188</v>
      </c>
      <c r="AE180" s="42">
        <v>111.2500076293945</v>
      </c>
      <c r="AF180" s="42">
        <v>400.03073120117188</v>
      </c>
      <c r="AG180" s="42">
        <v>99.138710021972656</v>
      </c>
      <c r="AH180" s="42">
        <v>74.710914611816406</v>
      </c>
      <c r="AI180" s="42">
        <v>111.5577697753906</v>
      </c>
      <c r="AJ180" s="42">
        <v>132.5528869628906</v>
      </c>
      <c r="AK180" s="42">
        <v>24.39999961853027</v>
      </c>
      <c r="AL180" s="42">
        <v>87.754188537597656</v>
      </c>
      <c r="AM180" s="42">
        <v>157.4242858886719</v>
      </c>
      <c r="AN180" s="42">
        <v>622.63397216796875</v>
      </c>
      <c r="AO180" s="42">
        <v>22.79999923706055</v>
      </c>
      <c r="AP180" s="42">
        <v>106.47747802734381</v>
      </c>
      <c r="AQ180" s="42">
        <v>87.554710388183594</v>
      </c>
      <c r="AR180" s="42">
        <v>155.9395446777344</v>
      </c>
      <c r="AS180" s="42">
        <v>830.36407470703125</v>
      </c>
      <c r="AT180" s="42">
        <v>352.43408203125</v>
      </c>
      <c r="AU180" s="42">
        <v>110.2763671875</v>
      </c>
      <c r="AV180" s="42">
        <v>193.5162658691406</v>
      </c>
      <c r="AW180" s="42">
        <v>541.50079345703125</v>
      </c>
      <c r="AX180" s="42">
        <v>222.00050354003909</v>
      </c>
      <c r="AY180" s="42">
        <v>80.481048583984375</v>
      </c>
      <c r="AZ180" s="42">
        <v>5705.4501953125</v>
      </c>
    </row>
    <row r="181" spans="1:52" ht="16" x14ac:dyDescent="0.2">
      <c r="A181" s="39">
        <v>45597</v>
      </c>
      <c r="B181" s="40">
        <v>235.6201171875</v>
      </c>
      <c r="C181" s="40">
        <v>114.4346618652344</v>
      </c>
      <c r="D181" s="40">
        <v>515.92999267578125</v>
      </c>
      <c r="E181" s="40">
        <v>122.8399963378906</v>
      </c>
      <c r="F181" s="40">
        <v>268.45956420898438</v>
      </c>
      <c r="G181" s="40">
        <v>207.88999938964841</v>
      </c>
      <c r="H181" s="40">
        <v>397.63851928710938</v>
      </c>
      <c r="I181" s="40">
        <v>37.597057342529297</v>
      </c>
      <c r="J181" s="40">
        <v>962.58648681640625</v>
      </c>
      <c r="K181" s="40">
        <v>56.891986846923828</v>
      </c>
      <c r="L181" s="40">
        <v>150.5519104003906</v>
      </c>
      <c r="M181" s="40">
        <v>114.79294586181641</v>
      </c>
      <c r="N181" s="40">
        <v>244.27061462402341</v>
      </c>
      <c r="O181" s="40">
        <v>128.9200439453125</v>
      </c>
      <c r="P181" s="40">
        <v>125.6736755371094</v>
      </c>
      <c r="Q181" s="40">
        <v>36.459999084472663</v>
      </c>
      <c r="R181" s="40">
        <v>250.3500061035156</v>
      </c>
      <c r="S181" s="40">
        <v>274.67129516601562</v>
      </c>
      <c r="T181" s="40">
        <v>180.34544372558591</v>
      </c>
      <c r="U181" s="40">
        <v>167.7718811035156</v>
      </c>
      <c r="V181" s="40">
        <v>584.896728515625</v>
      </c>
      <c r="W181" s="40">
        <v>409.79461669921881</v>
      </c>
      <c r="X181" s="40">
        <v>74.589996337890625</v>
      </c>
      <c r="Y181" s="40">
        <v>148.02508544921881</v>
      </c>
      <c r="Z181" s="40">
        <v>241.11940002441409</v>
      </c>
      <c r="AA181" s="40">
        <v>61.421985626220703</v>
      </c>
      <c r="AB181" s="40">
        <v>130.0372314453125</v>
      </c>
      <c r="AC181" s="40">
        <v>282.00543212890619</v>
      </c>
      <c r="AD181" s="40">
        <v>81.76287841796875</v>
      </c>
      <c r="AE181" s="40">
        <v>125.94936370849609</v>
      </c>
      <c r="AF181" s="40">
        <v>417.70904541015619</v>
      </c>
      <c r="AG181" s="40">
        <v>97.447425842285156</v>
      </c>
      <c r="AH181" s="40">
        <v>74.661170959472656</v>
      </c>
      <c r="AI181" s="40">
        <v>118.6492462158203</v>
      </c>
      <c r="AJ181" s="40">
        <v>138.0343322753906</v>
      </c>
      <c r="AK181" s="40">
        <v>29.979999542236332</v>
      </c>
      <c r="AL181" s="40">
        <v>103.96157073974609</v>
      </c>
      <c r="AM181" s="40">
        <v>170.8431701660156</v>
      </c>
      <c r="AN181" s="40">
        <v>691.857421875</v>
      </c>
      <c r="AO181" s="40">
        <v>24.909999847412109</v>
      </c>
      <c r="AP181" s="40">
        <v>110.0977325439453</v>
      </c>
      <c r="AQ181" s="40">
        <v>79.59161376953125</v>
      </c>
      <c r="AR181" s="40">
        <v>151.87745666503909</v>
      </c>
      <c r="AS181" s="40">
        <v>743.20654296875</v>
      </c>
      <c r="AT181" s="40">
        <v>391.10174560546881</v>
      </c>
      <c r="AU181" s="40">
        <v>123.00877380371089</v>
      </c>
      <c r="AV181" s="40">
        <v>191.48736572265619</v>
      </c>
      <c r="AW181" s="40">
        <v>585.3387451171875</v>
      </c>
      <c r="AX181" s="40">
        <v>234.04420471191409</v>
      </c>
      <c r="AY181" s="40">
        <v>90.841926574707031</v>
      </c>
      <c r="AZ181" s="40">
        <v>6032.3798828125</v>
      </c>
    </row>
    <row r="182" spans="1:52" ht="16" x14ac:dyDescent="0.2">
      <c r="A182" s="41">
        <v>45627</v>
      </c>
      <c r="B182" s="42">
        <v>248.6158142089844</v>
      </c>
      <c r="C182" s="42">
        <v>108.98126220703119</v>
      </c>
      <c r="D182" s="42">
        <v>444.67999267578119</v>
      </c>
      <c r="E182" s="42">
        <v>125.34999847412109</v>
      </c>
      <c r="F182" s="42">
        <v>247.36204528808591</v>
      </c>
      <c r="G182" s="42">
        <v>219.38999938964841</v>
      </c>
      <c r="H182" s="42">
        <v>355.19287109375</v>
      </c>
      <c r="I182" s="42">
        <v>32.670001983642578</v>
      </c>
      <c r="J182" s="42">
        <v>907.50830078125</v>
      </c>
      <c r="K182" s="42">
        <v>56.882381439208977</v>
      </c>
      <c r="L182" s="42">
        <v>134.66273498535159</v>
      </c>
      <c r="M182" s="42">
        <v>109.294563293457</v>
      </c>
      <c r="N182" s="42">
        <v>230.68559265136719</v>
      </c>
      <c r="O182" s="42">
        <v>120.4906692504883</v>
      </c>
      <c r="P182" s="42">
        <v>115.601676940918</v>
      </c>
      <c r="Q182" s="42">
        <v>33.299999237060547</v>
      </c>
      <c r="R182" s="42">
        <v>251.4700012207031</v>
      </c>
      <c r="S182" s="42">
        <v>254.8260192871094</v>
      </c>
      <c r="T182" s="42">
        <v>165.39753723144531</v>
      </c>
      <c r="U182" s="42">
        <v>188.1954345703125</v>
      </c>
      <c r="V182" s="42">
        <v>553.071533203125</v>
      </c>
      <c r="W182" s="42">
        <v>371.46322631835938</v>
      </c>
      <c r="X182" s="42">
        <v>69.069999694824219</v>
      </c>
      <c r="Y182" s="42">
        <v>138.1032409667969</v>
      </c>
      <c r="Z182" s="42">
        <v>231.45414733886719</v>
      </c>
      <c r="AA182" s="42">
        <v>59.677474975585938</v>
      </c>
      <c r="AB182" s="42">
        <v>115.874870300293</v>
      </c>
      <c r="AC182" s="42">
        <v>277.8363037109375</v>
      </c>
      <c r="AD182" s="42">
        <v>76.12353515625</v>
      </c>
      <c r="AE182" s="42">
        <v>120.3126907348633</v>
      </c>
      <c r="AF182" s="42">
        <v>415.77572631835938</v>
      </c>
      <c r="AG182" s="42">
        <v>83.836967468261719</v>
      </c>
      <c r="AH182" s="42">
        <v>68.036842346191406</v>
      </c>
      <c r="AI182" s="42">
        <v>112.3027038574219</v>
      </c>
      <c r="AJ182" s="42">
        <v>134.0897216796875</v>
      </c>
      <c r="AK182" s="42">
        <v>26.079999923706051</v>
      </c>
      <c r="AL182" s="42">
        <v>91.88153076171875</v>
      </c>
      <c r="AM182" s="42">
        <v>159.77830505371091</v>
      </c>
      <c r="AN182" s="42">
        <v>626.03790283203125</v>
      </c>
      <c r="AO182" s="42">
        <v>23.559999465942379</v>
      </c>
      <c r="AP182" s="42">
        <v>100.5200881958008</v>
      </c>
      <c r="AQ182" s="42">
        <v>72.721084594726562</v>
      </c>
      <c r="AR182" s="42">
        <v>147.94337463378909</v>
      </c>
      <c r="AS182" s="42">
        <v>705.6707763671875</v>
      </c>
      <c r="AT182" s="42">
        <v>334.54257202148438</v>
      </c>
      <c r="AU182" s="42">
        <v>118.2328720092773</v>
      </c>
      <c r="AV182" s="42">
        <v>178.609130859375</v>
      </c>
      <c r="AW182" s="42">
        <v>487.11105346679688</v>
      </c>
      <c r="AX182" s="42">
        <v>219.40406799316409</v>
      </c>
      <c r="AY182" s="42">
        <v>88.927055358886719</v>
      </c>
      <c r="AZ182" s="42">
        <v>5881.6298828125</v>
      </c>
    </row>
    <row r="183" spans="1:52" ht="16" x14ac:dyDescent="0.2">
      <c r="A183" s="39">
        <v>45658</v>
      </c>
      <c r="B183" s="40">
        <v>234.2996826171875</v>
      </c>
      <c r="C183" s="40">
        <v>123.9071350097656</v>
      </c>
      <c r="D183" s="40">
        <v>437.45001220703119</v>
      </c>
      <c r="E183" s="40">
        <v>125.1600036621094</v>
      </c>
      <c r="F183" s="40">
        <v>270.87969970703119</v>
      </c>
      <c r="G183" s="40">
        <v>237.67999267578119</v>
      </c>
      <c r="H183" s="40">
        <v>365.02511596679688</v>
      </c>
      <c r="I183" s="40">
        <v>29.547517776489261</v>
      </c>
      <c r="J183" s="40">
        <v>970.50994873046875</v>
      </c>
      <c r="K183" s="40">
        <v>58.624355316162109</v>
      </c>
      <c r="L183" s="40">
        <v>138.70709228515619</v>
      </c>
      <c r="M183" s="40">
        <v>110.97299957275391</v>
      </c>
      <c r="N183" s="40">
        <v>246.3094787597656</v>
      </c>
      <c r="O183" s="40">
        <v>126.3435974121094</v>
      </c>
      <c r="P183" s="40">
        <v>119.4727249145508</v>
      </c>
      <c r="Q183" s="40">
        <v>33.150001525878913</v>
      </c>
      <c r="R183" s="40">
        <v>297.260009765625</v>
      </c>
      <c r="S183" s="40">
        <v>249.84983825683591</v>
      </c>
      <c r="T183" s="40">
        <v>201.87049865722659</v>
      </c>
      <c r="U183" s="40">
        <v>202.82952880859381</v>
      </c>
      <c r="V183" s="40">
        <v>618.53765869140625</v>
      </c>
      <c r="W183" s="40">
        <v>393.41732788085938</v>
      </c>
      <c r="X183" s="40">
        <v>74.160003662109375</v>
      </c>
      <c r="Y183" s="40">
        <v>145.2939453125</v>
      </c>
      <c r="Z183" s="40">
        <v>259.42684936523438</v>
      </c>
      <c r="AA183" s="40">
        <v>60.846874237060547</v>
      </c>
      <c r="AB183" s="40">
        <v>131.4280090332031</v>
      </c>
      <c r="AC183" s="40">
        <v>276.69580078125</v>
      </c>
      <c r="AD183" s="40">
        <v>86.549072265625</v>
      </c>
      <c r="AE183" s="40">
        <v>133.35749816894531</v>
      </c>
      <c r="AF183" s="40">
        <v>409.42315673828119</v>
      </c>
      <c r="AG183" s="40">
        <v>90.889785766601562</v>
      </c>
      <c r="AH183" s="40">
        <v>67.913482666015625</v>
      </c>
      <c r="AI183" s="40">
        <v>118.6591033935547</v>
      </c>
      <c r="AJ183" s="40">
        <v>119.8909378051758</v>
      </c>
      <c r="AK183" s="40">
        <v>24.85000038146973</v>
      </c>
      <c r="AL183" s="40">
        <v>88.925582885742188</v>
      </c>
      <c r="AM183" s="40">
        <v>159.160888671875</v>
      </c>
      <c r="AN183" s="40">
        <v>695.94219970703125</v>
      </c>
      <c r="AO183" s="40">
        <v>22.989999771118161</v>
      </c>
      <c r="AP183" s="40">
        <v>113.4060592651367</v>
      </c>
      <c r="AQ183" s="40">
        <v>78.646675109863281</v>
      </c>
      <c r="AR183" s="40">
        <v>166.53981018066409</v>
      </c>
      <c r="AS183" s="40">
        <v>666.68865966796875</v>
      </c>
      <c r="AT183" s="40">
        <v>352.48361206054688</v>
      </c>
      <c r="AU183" s="40">
        <v>122.1279678344727</v>
      </c>
      <c r="AV183" s="40">
        <v>177.1471862792969</v>
      </c>
      <c r="AW183" s="40">
        <v>522.38348388671875</v>
      </c>
      <c r="AX183" s="40">
        <v>238.4061584472656</v>
      </c>
      <c r="AY183" s="40">
        <v>96.614067077636719</v>
      </c>
      <c r="AZ183" s="40">
        <v>6040.52978515625</v>
      </c>
    </row>
    <row r="184" spans="1:52" ht="16" x14ac:dyDescent="0.2">
      <c r="A184" s="41">
        <v>45689</v>
      </c>
      <c r="B184" s="42">
        <v>240.36158752441409</v>
      </c>
      <c r="C184" s="42">
        <v>133.6701354980469</v>
      </c>
      <c r="D184" s="42">
        <v>438.55999755859381</v>
      </c>
      <c r="E184" s="42">
        <v>95.769996643066406</v>
      </c>
      <c r="F184" s="42">
        <v>294.72830200195312</v>
      </c>
      <c r="G184" s="42">
        <v>212.2799987792969</v>
      </c>
      <c r="H184" s="42">
        <v>338.00985717773438</v>
      </c>
      <c r="I184" s="42">
        <v>31.496280670166019</v>
      </c>
      <c r="J184" s="42">
        <v>1039.730224609375</v>
      </c>
      <c r="K184" s="42">
        <v>62.019924163818359</v>
      </c>
      <c r="L184" s="42">
        <v>149.11021423339841</v>
      </c>
      <c r="M184" s="42">
        <v>111.699348449707</v>
      </c>
      <c r="N184" s="42">
        <v>264.83758544921881</v>
      </c>
      <c r="O184" s="42">
        <v>118.7353973388672</v>
      </c>
      <c r="P184" s="42">
        <v>120.5649719238281</v>
      </c>
      <c r="Q184" s="42">
        <v>38.689998626708977</v>
      </c>
      <c r="R184" s="42">
        <v>292.42999267578119</v>
      </c>
      <c r="S184" s="42">
        <v>245.59136962890619</v>
      </c>
      <c r="T184" s="42">
        <v>205.25201416015619</v>
      </c>
      <c r="U184" s="42">
        <v>169.286376953125</v>
      </c>
      <c r="V184" s="42">
        <v>604.0262451171875</v>
      </c>
      <c r="W184" s="42">
        <v>378.7303466796875</v>
      </c>
      <c r="X184" s="42">
        <v>73.5</v>
      </c>
      <c r="Y184" s="42">
        <v>158.8454284667969</v>
      </c>
      <c r="Z184" s="42">
        <v>256.85491943359381</v>
      </c>
      <c r="AA184" s="42">
        <v>68.256233215332031</v>
      </c>
      <c r="AB184" s="42">
        <v>129.75868225097659</v>
      </c>
      <c r="AC184" s="42">
        <v>295.50955200195312</v>
      </c>
      <c r="AD184" s="42">
        <v>87.692642211914062</v>
      </c>
      <c r="AE184" s="42">
        <v>128.23246765136719</v>
      </c>
      <c r="AF184" s="42">
        <v>392.38372802734381</v>
      </c>
      <c r="AG184" s="42">
        <v>93.270614624023438</v>
      </c>
      <c r="AH184" s="42">
        <v>67.143013000488281</v>
      </c>
      <c r="AI184" s="42">
        <v>96.99725341796875</v>
      </c>
      <c r="AJ184" s="42">
        <v>124.73370361328119</v>
      </c>
      <c r="AK184" s="42">
        <v>22.090000152587891</v>
      </c>
      <c r="AL184" s="42">
        <v>92.856651306152344</v>
      </c>
      <c r="AM184" s="42">
        <v>166.68792724609381</v>
      </c>
      <c r="AN184" s="42">
        <v>659.5621337890625</v>
      </c>
      <c r="AO184" s="42">
        <v>20.840000152587891</v>
      </c>
      <c r="AP184" s="42">
        <v>117.8472061157227</v>
      </c>
      <c r="AQ184" s="42">
        <v>63.3701171875</v>
      </c>
      <c r="AR184" s="42">
        <v>151.3622131347656</v>
      </c>
      <c r="AS184" s="42">
        <v>693.0972900390625</v>
      </c>
      <c r="AT184" s="42">
        <v>356.52847290039062</v>
      </c>
      <c r="AU184" s="42">
        <v>122.4677658081055</v>
      </c>
      <c r="AV184" s="42">
        <v>188.06712341308591</v>
      </c>
      <c r="AW184" s="42">
        <v>457.35629272460938</v>
      </c>
      <c r="AX184" s="42">
        <v>238.65272521972659</v>
      </c>
      <c r="AY184" s="42">
        <v>97.056968688964844</v>
      </c>
      <c r="AZ184" s="42">
        <v>5954.5</v>
      </c>
    </row>
    <row r="185" spans="1:52" ht="16" x14ac:dyDescent="0.2">
      <c r="A185" s="39">
        <v>45717</v>
      </c>
      <c r="B185" s="40">
        <v>220.77207946777341</v>
      </c>
      <c r="C185" s="40">
        <v>128.47869873046881</v>
      </c>
      <c r="D185" s="40">
        <v>383.52999877929688</v>
      </c>
      <c r="E185" s="40">
        <v>98.889999389648438</v>
      </c>
      <c r="F185" s="40">
        <v>298.06729125976562</v>
      </c>
      <c r="G185" s="40">
        <v>190.25999450683591</v>
      </c>
      <c r="H185" s="40">
        <v>324.10415649414062</v>
      </c>
      <c r="I185" s="40">
        <v>32.391658782958977</v>
      </c>
      <c r="J185" s="40">
        <v>937.7711181640625</v>
      </c>
      <c r="K185" s="40">
        <v>59.698162078857422</v>
      </c>
      <c r="L185" s="40">
        <v>157.26045227050781</v>
      </c>
      <c r="M185" s="40">
        <v>96.878074645996094</v>
      </c>
      <c r="N185" s="40">
        <v>250.2335510253906</v>
      </c>
      <c r="O185" s="40">
        <v>107.0483322143555</v>
      </c>
      <c r="P185" s="40">
        <v>121.79969787597661</v>
      </c>
      <c r="Q185" s="40">
        <v>36.919998168945312</v>
      </c>
      <c r="R185" s="40">
        <v>266.26998901367188</v>
      </c>
      <c r="S185" s="40">
        <v>265.0169677734375</v>
      </c>
      <c r="T185" s="40">
        <v>198.84831237792969</v>
      </c>
      <c r="U185" s="40">
        <v>153.91471862792969</v>
      </c>
      <c r="V185" s="40">
        <v>530.2568359375</v>
      </c>
      <c r="W185" s="40">
        <v>352.19796752929688</v>
      </c>
      <c r="X185" s="40">
        <v>60.549999237060547</v>
      </c>
      <c r="Y185" s="40">
        <v>159.6347351074219</v>
      </c>
      <c r="Z185" s="40">
        <v>238.0748596191406</v>
      </c>
      <c r="AA185" s="40">
        <v>69.155830383300781</v>
      </c>
      <c r="AB185" s="40">
        <v>124.2587890625</v>
      </c>
      <c r="AC185" s="40">
        <v>301.11013793945312</v>
      </c>
      <c r="AD185" s="40">
        <v>86.313232421875</v>
      </c>
      <c r="AE185" s="40">
        <v>112.3948669433594</v>
      </c>
      <c r="AF185" s="40">
        <v>371.034423828125</v>
      </c>
      <c r="AG185" s="40">
        <v>86.669189453125</v>
      </c>
      <c r="AH185" s="40">
        <v>67.831962585449219</v>
      </c>
      <c r="AI185" s="40">
        <v>85.364578247070312</v>
      </c>
      <c r="AJ185" s="40">
        <v>108.2283248901367</v>
      </c>
      <c r="AK185" s="40">
        <v>21.809999465942379</v>
      </c>
      <c r="AL185" s="40">
        <v>91.774459838867188</v>
      </c>
      <c r="AM185" s="40">
        <v>163.40863037109381</v>
      </c>
      <c r="AN185" s="40">
        <v>599.71405029296875</v>
      </c>
      <c r="AO185" s="40">
        <v>20.760000228881839</v>
      </c>
      <c r="AP185" s="40">
        <v>107.2582626342773</v>
      </c>
      <c r="AQ185" s="40">
        <v>60.072669982910163</v>
      </c>
      <c r="AR185" s="40">
        <v>148.73143005371091</v>
      </c>
      <c r="AS185" s="40">
        <v>629.10821533203125</v>
      </c>
      <c r="AT185" s="40">
        <v>344.40689086914062</v>
      </c>
      <c r="AU185" s="40">
        <v>119.562141418457</v>
      </c>
      <c r="AV185" s="40">
        <v>172.43565368652341</v>
      </c>
      <c r="AW185" s="40">
        <v>506.493408203125</v>
      </c>
      <c r="AX185" s="40">
        <v>228.54319763183591</v>
      </c>
      <c r="AY185" s="40">
        <v>86.644676208496094</v>
      </c>
      <c r="AZ185" s="40">
        <v>5611.85009765625</v>
      </c>
    </row>
    <row r="186" spans="1:52" ht="16" x14ac:dyDescent="0.2">
      <c r="A186" s="41">
        <v>45748</v>
      </c>
      <c r="B186" s="42">
        <v>211.2009582519531</v>
      </c>
      <c r="C186" s="42">
        <v>127.2250671386719</v>
      </c>
      <c r="D186" s="42">
        <v>374.98001098632812</v>
      </c>
      <c r="E186" s="42">
        <v>104.5500030517578</v>
      </c>
      <c r="F186" s="42">
        <v>278.33010864257812</v>
      </c>
      <c r="G186" s="42">
        <v>184.41999816894531</v>
      </c>
      <c r="H186" s="42">
        <v>305.39215087890619</v>
      </c>
      <c r="I186" s="42">
        <v>30.29378700256348</v>
      </c>
      <c r="J186" s="42">
        <v>986.0784912109375</v>
      </c>
      <c r="K186" s="42">
        <v>56.220783233642578</v>
      </c>
      <c r="L186" s="42">
        <v>127.9027786254883</v>
      </c>
      <c r="M186" s="42">
        <v>89.271133422851562</v>
      </c>
      <c r="N186" s="42">
        <v>248.170654296875</v>
      </c>
      <c r="O186" s="42">
        <v>102.6254119873047</v>
      </c>
      <c r="P186" s="42">
        <v>105.74843597412109</v>
      </c>
      <c r="Q186" s="42">
        <v>39.150001525878913</v>
      </c>
      <c r="R186" s="42">
        <v>264.739990234375</v>
      </c>
      <c r="S186" s="42">
        <v>266.03787231445312</v>
      </c>
      <c r="T186" s="42">
        <v>200.22926330566409</v>
      </c>
      <c r="U186" s="42">
        <v>158.0552062988281</v>
      </c>
      <c r="V186" s="42">
        <v>531.4798583984375</v>
      </c>
      <c r="W186" s="42">
        <v>346.43194580078119</v>
      </c>
      <c r="X186" s="42">
        <v>62.659999847412109</v>
      </c>
      <c r="Y186" s="42">
        <v>150.46131896972659</v>
      </c>
      <c r="Z186" s="42">
        <v>238.87725830078119</v>
      </c>
      <c r="AA186" s="42">
        <v>70.0538330078125</v>
      </c>
      <c r="AB186" s="42">
        <v>126.75339508056641</v>
      </c>
      <c r="AC186" s="42">
        <v>308.127685546875</v>
      </c>
      <c r="AD186" s="42">
        <v>81.414543151855469</v>
      </c>
      <c r="AE186" s="42">
        <v>112.0828170776367</v>
      </c>
      <c r="AF186" s="42">
        <v>390.67385864257812</v>
      </c>
      <c r="AG186" s="42">
        <v>76.754447937011719</v>
      </c>
      <c r="AH186" s="42">
        <v>63.994945526123047</v>
      </c>
      <c r="AI186" s="42">
        <v>87.780082702636719</v>
      </c>
      <c r="AJ186" s="42">
        <v>108.76756286621089</v>
      </c>
      <c r="AK186" s="42">
        <v>17.75</v>
      </c>
      <c r="AL186" s="42">
        <v>75.994651794433594</v>
      </c>
      <c r="AM186" s="42">
        <v>156.8532409667969</v>
      </c>
      <c r="AN186" s="42">
        <v>596.96136474609375</v>
      </c>
      <c r="AO186" s="42">
        <v>18.270000457763668</v>
      </c>
      <c r="AP186" s="42">
        <v>98.057014465332031</v>
      </c>
      <c r="AQ186" s="42">
        <v>61.381809234619141</v>
      </c>
      <c r="AR186" s="42">
        <v>143.7449951171875</v>
      </c>
      <c r="AS186" s="42">
        <v>593.92474365234375</v>
      </c>
      <c r="AT186" s="42">
        <v>348.08572387695312</v>
      </c>
      <c r="AU186" s="42">
        <v>126.3157196044922</v>
      </c>
      <c r="AV186" s="42">
        <v>154.89027404785159</v>
      </c>
      <c r="AW186" s="42">
        <v>397.8837890625</v>
      </c>
      <c r="AX186" s="42">
        <v>208.6336975097656</v>
      </c>
      <c r="AY186" s="42">
        <v>95.981246948242188</v>
      </c>
      <c r="AZ186" s="42">
        <v>5569.06005859375</v>
      </c>
    </row>
    <row r="187" spans="1:52" ht="16" x14ac:dyDescent="0.2">
      <c r="A187" s="39">
        <v>45778</v>
      </c>
      <c r="B187" s="40">
        <v>199.8839416503906</v>
      </c>
      <c r="C187" s="40">
        <v>129.9787902832031</v>
      </c>
      <c r="D187" s="40">
        <v>415.08999633789062</v>
      </c>
      <c r="E187" s="40">
        <v>110.9100036621094</v>
      </c>
      <c r="F187" s="40">
        <v>278.14520263671881</v>
      </c>
      <c r="G187" s="40">
        <v>205.00999450683591</v>
      </c>
      <c r="H187" s="40">
        <v>343.66619873046881</v>
      </c>
      <c r="I187" s="40">
        <v>30.621526718139648</v>
      </c>
      <c r="J187" s="40">
        <v>1032.715454101562</v>
      </c>
      <c r="K187" s="40">
        <v>61.3919677734375</v>
      </c>
      <c r="L187" s="40">
        <v>130.06962585449219</v>
      </c>
      <c r="M187" s="40">
        <v>110.9533767700195</v>
      </c>
      <c r="N187" s="40">
        <v>262.17666625976562</v>
      </c>
      <c r="O187" s="40">
        <v>117.072151184082</v>
      </c>
      <c r="P187" s="40">
        <v>104.0615158081055</v>
      </c>
      <c r="Q187" s="40">
        <v>43.040000915527337</v>
      </c>
      <c r="R187" s="40">
        <v>285.3800048828125</v>
      </c>
      <c r="S187" s="40">
        <v>272.26547241210938</v>
      </c>
      <c r="T187" s="40">
        <v>244.3106994628906</v>
      </c>
      <c r="U187" s="40">
        <v>170.93452453613281</v>
      </c>
      <c r="V187" s="40">
        <v>585.732421875</v>
      </c>
      <c r="W187" s="40">
        <v>353.92779541015619</v>
      </c>
      <c r="X187" s="40">
        <v>65.05999755859375</v>
      </c>
      <c r="Y187" s="40">
        <v>150.68328857421881</v>
      </c>
      <c r="Z187" s="40">
        <v>257.80230712890619</v>
      </c>
      <c r="AA187" s="40">
        <v>69.619316101074219</v>
      </c>
      <c r="AB187" s="40">
        <v>137.25794982910159</v>
      </c>
      <c r="AC187" s="40">
        <v>302.53677368164062</v>
      </c>
      <c r="AD187" s="40">
        <v>79.704780578613281</v>
      </c>
      <c r="AE187" s="40">
        <v>124.3282165527344</v>
      </c>
      <c r="AF187" s="40">
        <v>455.85382080078119</v>
      </c>
      <c r="AG187" s="40">
        <v>94.219947814941406</v>
      </c>
      <c r="AH187" s="40">
        <v>67.592750549316406</v>
      </c>
      <c r="AI187" s="40">
        <v>96.983543395996094</v>
      </c>
      <c r="AJ187" s="40">
        <v>134.9408874511719</v>
      </c>
      <c r="AK187" s="40">
        <v>19.069999694824219</v>
      </c>
      <c r="AL187" s="40">
        <v>75.715805053710938</v>
      </c>
      <c r="AM187" s="40">
        <v>163.9158630371094</v>
      </c>
      <c r="AN187" s="40">
        <v>657.64849853515625</v>
      </c>
      <c r="AO187" s="40">
        <v>16.70999908447266</v>
      </c>
      <c r="AP187" s="40">
        <v>104.1975784301758</v>
      </c>
      <c r="AQ187" s="40">
        <v>70.250480651855469</v>
      </c>
      <c r="AR187" s="40">
        <v>140.58851623535159</v>
      </c>
      <c r="AS187" s="40">
        <v>487.03924560546881</v>
      </c>
      <c r="AT187" s="40">
        <v>354.67025756835938</v>
      </c>
      <c r="AU187" s="40">
        <v>124.9731063842773</v>
      </c>
      <c r="AV187" s="40">
        <v>176.95524597167969</v>
      </c>
      <c r="AW187" s="40">
        <v>291.96261596679688</v>
      </c>
      <c r="AX187" s="40">
        <v>215.7374267578125</v>
      </c>
      <c r="AY187" s="40">
        <v>97.667655944824219</v>
      </c>
      <c r="AZ187" s="40">
        <v>5911.68994140625</v>
      </c>
    </row>
    <row r="188" spans="1:52" ht="16" x14ac:dyDescent="0.2">
      <c r="A188" s="41">
        <v>45809</v>
      </c>
      <c r="B188" s="42">
        <v>204.18316650390619</v>
      </c>
      <c r="C188" s="42">
        <v>132.34326171875</v>
      </c>
      <c r="D188" s="42">
        <v>386.8800048828125</v>
      </c>
      <c r="E188" s="42">
        <v>115.19000244140619</v>
      </c>
      <c r="F188" s="42">
        <v>269.48751831054688</v>
      </c>
      <c r="G188" s="42">
        <v>219.38999938964841</v>
      </c>
      <c r="H188" s="42">
        <v>383.34237670898438</v>
      </c>
      <c r="I188" s="42">
        <v>31.613601684570309</v>
      </c>
      <c r="J188" s="42">
        <v>982.83612060546875</v>
      </c>
      <c r="K188" s="42">
        <v>67.566215515136719</v>
      </c>
      <c r="L188" s="42">
        <v>136.244873046875</v>
      </c>
      <c r="M188" s="42">
        <v>122.2399444580078</v>
      </c>
      <c r="N188" s="42">
        <v>266.59829711914062</v>
      </c>
      <c r="O188" s="42">
        <v>130.7524719238281</v>
      </c>
      <c r="P188" s="42">
        <v>114.6430740356445</v>
      </c>
      <c r="Q188" s="42">
        <v>44.080001831054688</v>
      </c>
      <c r="R188" s="42">
        <v>294.32000732421881</v>
      </c>
      <c r="S188" s="42">
        <v>285.14114379882812</v>
      </c>
      <c r="T188" s="42">
        <v>255.716064453125</v>
      </c>
      <c r="U188" s="42">
        <v>175.6158142089844</v>
      </c>
      <c r="V188" s="42">
        <v>690.40240478515625</v>
      </c>
      <c r="W188" s="42">
        <v>354.53179931640619</v>
      </c>
      <c r="X188" s="42">
        <v>68.099998474121094</v>
      </c>
      <c r="Y188" s="42">
        <v>148.2950134277344</v>
      </c>
      <c r="Z188" s="42">
        <v>283.10400390625</v>
      </c>
      <c r="AA188" s="42">
        <v>68.801475524902344</v>
      </c>
      <c r="AB188" s="42">
        <v>142.033447265625</v>
      </c>
      <c r="AC188" s="42">
        <v>283.235595703125</v>
      </c>
      <c r="AD188" s="42">
        <v>84.424942016601562</v>
      </c>
      <c r="AE188" s="42">
        <v>136.7872619628906</v>
      </c>
      <c r="AF188" s="42">
        <v>492.54119873046881</v>
      </c>
      <c r="AG188" s="42">
        <v>122.9367752075195</v>
      </c>
      <c r="AH188" s="42">
        <v>66.962852478027344</v>
      </c>
      <c r="AI188" s="42">
        <v>104.2113342285156</v>
      </c>
      <c r="AJ188" s="42">
        <v>157.77986145019531</v>
      </c>
      <c r="AK188" s="42">
        <v>20.719999313354489</v>
      </c>
      <c r="AL188" s="42">
        <v>76.455734252929688</v>
      </c>
      <c r="AM188" s="42">
        <v>153.717529296875</v>
      </c>
      <c r="AN188" s="42">
        <v>691.06024169921875</v>
      </c>
      <c r="AO188" s="42">
        <v>18.829999923706051</v>
      </c>
      <c r="AP188" s="42">
        <v>101.82138824462891</v>
      </c>
      <c r="AQ188" s="42">
        <v>70.969017028808594</v>
      </c>
      <c r="AR188" s="42">
        <v>155.12828063964841</v>
      </c>
      <c r="AS188" s="42">
        <v>521.52972412109375</v>
      </c>
      <c r="AT188" s="42">
        <v>339.39849853515619</v>
      </c>
      <c r="AU188" s="42">
        <v>121.61488342285161</v>
      </c>
      <c r="AV188" s="42">
        <v>200.92671203613281</v>
      </c>
      <c r="AW188" s="42">
        <v>303.83282470703119</v>
      </c>
      <c r="AX188" s="42">
        <v>223.93244934082031</v>
      </c>
      <c r="AY188" s="42">
        <v>96.7376708984375</v>
      </c>
      <c r="AZ188" s="42">
        <v>6204.9501953125</v>
      </c>
    </row>
    <row r="189" spans="1:52" ht="16" x14ac:dyDescent="0.2">
      <c r="A189" s="39">
        <v>45839</v>
      </c>
      <c r="B189" s="40">
        <v>206.57160949707031</v>
      </c>
      <c r="C189" s="40">
        <v>123.33917236328119</v>
      </c>
      <c r="D189" s="40">
        <v>357.69000244140619</v>
      </c>
      <c r="E189" s="40">
        <v>106.7799987792969</v>
      </c>
      <c r="F189" s="40">
        <v>284.82421875</v>
      </c>
      <c r="G189" s="40">
        <v>234.11000061035159</v>
      </c>
      <c r="H189" s="40">
        <v>434.1123046875</v>
      </c>
      <c r="I189" s="40">
        <v>29.70439529418945</v>
      </c>
      <c r="J189" s="40">
        <v>932.89697265625</v>
      </c>
      <c r="K189" s="40">
        <v>66.69891357421875</v>
      </c>
      <c r="L189" s="40">
        <v>144.2850036621094</v>
      </c>
      <c r="M189" s="40">
        <v>117.4098815917969</v>
      </c>
      <c r="N189" s="40">
        <v>258.99929809570312</v>
      </c>
      <c r="O189" s="40">
        <v>142.69700622558591</v>
      </c>
      <c r="P189" s="40">
        <v>115.9879608154297</v>
      </c>
      <c r="Q189" s="40">
        <v>36.220001220703118</v>
      </c>
      <c r="R189" s="40">
        <v>313.42001342773438</v>
      </c>
      <c r="S189" s="40">
        <v>306.20791625976562</v>
      </c>
      <c r="T189" s="40">
        <v>269.71029663085938</v>
      </c>
      <c r="U189" s="40">
        <v>191.23118591308591</v>
      </c>
      <c r="V189" s="40">
        <v>705.854248046875</v>
      </c>
      <c r="W189" s="40">
        <v>355.373046875</v>
      </c>
      <c r="X189" s="40">
        <v>74.889999389648438</v>
      </c>
      <c r="Y189" s="40">
        <v>159.93534851074219</v>
      </c>
      <c r="Z189" s="40">
        <v>290.6790771484375</v>
      </c>
      <c r="AA189" s="40">
        <v>66.020248413085938</v>
      </c>
      <c r="AB189" s="40">
        <v>134.412353515625</v>
      </c>
      <c r="AC189" s="40">
        <v>290.89401245117188</v>
      </c>
      <c r="AD189" s="40">
        <v>87.398269653320312</v>
      </c>
      <c r="AE189" s="40">
        <v>139.30210876464841</v>
      </c>
      <c r="AF189" s="40">
        <v>528.2779541015625</v>
      </c>
      <c r="AG189" s="40">
        <v>108.96510314941411</v>
      </c>
      <c r="AH189" s="40">
        <v>68.544815063476562</v>
      </c>
      <c r="AI189" s="40">
        <v>102.338981628418</v>
      </c>
      <c r="AJ189" s="40">
        <v>177.6334228515625</v>
      </c>
      <c r="AK189" s="40">
        <v>21.70000076293945</v>
      </c>
      <c r="AL189" s="40">
        <v>76.905296325683594</v>
      </c>
      <c r="AM189" s="40">
        <v>146.17156982421881</v>
      </c>
      <c r="AN189" s="40">
        <v>724.13555908203125</v>
      </c>
      <c r="AO189" s="40">
        <v>20.360000610351559</v>
      </c>
      <c r="AP189" s="40">
        <v>103.4292907714844</v>
      </c>
      <c r="AQ189" s="40">
        <v>63.763847351074219</v>
      </c>
      <c r="AR189" s="40">
        <v>142.9525451660156</v>
      </c>
      <c r="AS189" s="40">
        <v>541.8544921875</v>
      </c>
      <c r="AT189" s="40">
        <v>327.0625</v>
      </c>
      <c r="AU189" s="40">
        <v>122.63909912109381</v>
      </c>
      <c r="AV189" s="40">
        <v>176.48944091796881</v>
      </c>
      <c r="AW189" s="40">
        <v>243.05064392089841</v>
      </c>
      <c r="AX189" s="40">
        <v>216.0391540527344</v>
      </c>
      <c r="AY189" s="40">
        <v>96.935539245605469</v>
      </c>
      <c r="AZ189" s="40">
        <v>6339.39013671875</v>
      </c>
    </row>
    <row r="190" spans="1:52" ht="16" x14ac:dyDescent="0.2">
      <c r="A190" s="41">
        <v>45870</v>
      </c>
      <c r="B190" s="42">
        <v>231.2856140136719</v>
      </c>
      <c r="C190" s="42">
        <v>129.6629943847656</v>
      </c>
      <c r="D190" s="42">
        <v>356.70001220703119</v>
      </c>
      <c r="E190" s="42">
        <v>115.1699981689453</v>
      </c>
      <c r="F190" s="42">
        <v>279.94427490234381</v>
      </c>
      <c r="G190" s="42">
        <v>229</v>
      </c>
      <c r="H190" s="42">
        <v>415.30166625976562</v>
      </c>
      <c r="I190" s="42">
        <v>30.36588096618652</v>
      </c>
      <c r="J190" s="42">
        <v>937.8480224609375</v>
      </c>
      <c r="K190" s="42">
        <v>67.688407897949219</v>
      </c>
      <c r="L190" s="42">
        <v>154.51152038574219</v>
      </c>
      <c r="M190" s="42">
        <v>116.690299987793</v>
      </c>
      <c r="N190" s="42">
        <v>274.11813354492188</v>
      </c>
      <c r="O190" s="42">
        <v>129.95884704589841</v>
      </c>
      <c r="P190" s="42">
        <v>120.626708984375</v>
      </c>
      <c r="Q190" s="42">
        <v>37.419998168945312</v>
      </c>
      <c r="R190" s="42">
        <v>313.1400146484375</v>
      </c>
      <c r="S190" s="42">
        <v>318.94326782226562</v>
      </c>
      <c r="T190" s="42">
        <v>273.80947875976562</v>
      </c>
      <c r="U190" s="42">
        <v>212.16796875</v>
      </c>
      <c r="V190" s="42">
        <v>730.875</v>
      </c>
      <c r="W190" s="42">
        <v>393.33648681640619</v>
      </c>
      <c r="X190" s="42">
        <v>84.610000610351562</v>
      </c>
      <c r="Y190" s="42">
        <v>173.26533508300781</v>
      </c>
      <c r="Z190" s="42">
        <v>295.76187133789062</v>
      </c>
      <c r="AA190" s="42">
        <v>67.089958190917969</v>
      </c>
      <c r="AB190" s="42">
        <v>135.47749328613281</v>
      </c>
      <c r="AC190" s="42">
        <v>303.9521484375</v>
      </c>
      <c r="AD190" s="42">
        <v>89.887344360351562</v>
      </c>
      <c r="AE190" s="42">
        <v>147.1443176269531</v>
      </c>
      <c r="AF190" s="42">
        <v>502.55511474609381</v>
      </c>
      <c r="AG190" s="42">
        <v>118.8192977905273</v>
      </c>
      <c r="AH190" s="42">
        <v>70.037208557128906</v>
      </c>
      <c r="AI190" s="42">
        <v>110.8500213623047</v>
      </c>
      <c r="AJ190" s="42">
        <v>173.94831848144531</v>
      </c>
      <c r="AK190" s="42">
        <v>24.39999961853027</v>
      </c>
      <c r="AL190" s="42">
        <v>72.447303771972656</v>
      </c>
      <c r="AM190" s="42">
        <v>152.55387878417969</v>
      </c>
      <c r="AN190" s="42">
        <v>751.29437255859375</v>
      </c>
      <c r="AO190" s="42">
        <v>22.670000076293949</v>
      </c>
      <c r="AP190" s="42">
        <v>110.2096405029297</v>
      </c>
      <c r="AQ190" s="42">
        <v>71.481788635253906</v>
      </c>
      <c r="AR190" s="42">
        <v>156.56013488769531</v>
      </c>
      <c r="AS190" s="42">
        <v>577.737548828125</v>
      </c>
      <c r="AT190" s="42">
        <v>362.39236450195312</v>
      </c>
      <c r="AU190" s="42">
        <v>134.96342468261719</v>
      </c>
      <c r="AV190" s="42">
        <v>197.3687438964844</v>
      </c>
      <c r="AW190" s="42">
        <v>301.78756713867188</v>
      </c>
      <c r="AX190" s="42">
        <v>218.95533752441409</v>
      </c>
      <c r="AY190" s="42">
        <v>96.170295715332031</v>
      </c>
      <c r="AZ190" s="42">
        <v>6460.259765625</v>
      </c>
    </row>
    <row r="191" spans="1:52" ht="16" x14ac:dyDescent="0.2">
      <c r="A191" s="39">
        <v>45901</v>
      </c>
      <c r="B191" s="40">
        <v>253.69287109375</v>
      </c>
      <c r="C191" s="40">
        <v>130.9140930175781</v>
      </c>
      <c r="D191" s="40">
        <v>352.75</v>
      </c>
      <c r="E191" s="40">
        <v>117.9899978637695</v>
      </c>
      <c r="F191" s="40">
        <v>274.5830078125</v>
      </c>
      <c r="G191" s="40">
        <v>219.57000732421881</v>
      </c>
      <c r="H191" s="40">
        <v>472.89321899414062</v>
      </c>
      <c r="I191" s="40">
        <v>28.086429595947269</v>
      </c>
      <c r="J191" s="40">
        <v>920.26068115234375</v>
      </c>
      <c r="K191" s="40">
        <v>67.032005310058594</v>
      </c>
      <c r="L191" s="40">
        <v>149.4028015136719</v>
      </c>
      <c r="M191" s="40">
        <v>112.8656845092773</v>
      </c>
      <c r="N191" s="40">
        <v>271.62411499023438</v>
      </c>
      <c r="O191" s="40">
        <v>129.1515197753906</v>
      </c>
      <c r="P191" s="40">
        <v>108.3533630371094</v>
      </c>
      <c r="Q191" s="40">
        <v>41.299999237060547</v>
      </c>
      <c r="R191" s="40">
        <v>323.19000244140619</v>
      </c>
      <c r="S191" s="40">
        <v>335.08840942382812</v>
      </c>
      <c r="T191" s="40">
        <v>299.665771484375</v>
      </c>
      <c r="U191" s="40">
        <v>242.46943664550781</v>
      </c>
      <c r="V191" s="40">
        <v>780.9892578125</v>
      </c>
      <c r="W191" s="40">
        <v>394.03152465820312</v>
      </c>
      <c r="X191" s="40">
        <v>84.80999755859375</v>
      </c>
      <c r="Y191" s="40">
        <v>181.33351135253909</v>
      </c>
      <c r="Z191" s="40">
        <v>309.50885009765619</v>
      </c>
      <c r="AA191" s="40">
        <v>64.98809814453125</v>
      </c>
      <c r="AB191" s="40">
        <v>138.76495361328119</v>
      </c>
      <c r="AC191" s="40">
        <v>296.26974487304688</v>
      </c>
      <c r="AD191" s="40">
        <v>92.940582275390625</v>
      </c>
      <c r="AE191" s="40">
        <v>155.43635559082031</v>
      </c>
      <c r="AF191" s="40">
        <v>513.7232666015625</v>
      </c>
      <c r="AG191" s="40">
        <v>167.0518798828125</v>
      </c>
      <c r="AH191" s="40">
        <v>73.381103515625</v>
      </c>
      <c r="AI191" s="40">
        <v>116.42250061035161</v>
      </c>
      <c r="AJ191" s="40">
        <v>186.34233093261719</v>
      </c>
      <c r="AK191" s="40">
        <v>24.780000686645511</v>
      </c>
      <c r="AL191" s="40">
        <v>69.212875366210938</v>
      </c>
      <c r="AM191" s="40">
        <v>149.26072692871091</v>
      </c>
      <c r="AN191" s="40">
        <v>751.88946533203125</v>
      </c>
      <c r="AO191" s="40">
        <v>22.95000076293945</v>
      </c>
      <c r="AP191" s="40">
        <v>111.9156036376953</v>
      </c>
      <c r="AQ191" s="40">
        <v>70.138473510742188</v>
      </c>
      <c r="AR191" s="40">
        <v>162.96624755859381</v>
      </c>
      <c r="AS191" s="40">
        <v>559.4014892578125</v>
      </c>
      <c r="AT191" s="40">
        <v>343.00628662109381</v>
      </c>
      <c r="AU191" s="40">
        <v>142.7978210449219</v>
      </c>
      <c r="AV191" s="40">
        <v>179.092041015625</v>
      </c>
      <c r="AW191" s="40">
        <v>338.4150390625</v>
      </c>
      <c r="AX191" s="40">
        <v>231.49110412597659</v>
      </c>
      <c r="AY191" s="40">
        <v>102.19952392578119</v>
      </c>
      <c r="AZ191" s="40">
        <v>6688.4599609375</v>
      </c>
    </row>
    <row r="192" spans="1:52" ht="16" x14ac:dyDescent="0.2">
      <c r="A192" s="41">
        <v>45931</v>
      </c>
      <c r="B192" s="42">
        <v>269.37493896484381</v>
      </c>
      <c r="C192" s="42">
        <v>121.36452484130859</v>
      </c>
      <c r="D192" s="42">
        <v>340.30999755859381</v>
      </c>
      <c r="E192" s="42">
        <v>116.88999938964839</v>
      </c>
      <c r="F192" s="42">
        <v>290.37490844726562</v>
      </c>
      <c r="G192" s="42">
        <v>244.2200012207031</v>
      </c>
      <c r="H192" s="42">
        <v>573.7537841796875</v>
      </c>
      <c r="I192" s="42">
        <v>25.150407791137699</v>
      </c>
      <c r="J192" s="42">
        <v>907.4449462890625</v>
      </c>
      <c r="K192" s="42">
        <v>72.059371948242188</v>
      </c>
      <c r="L192" s="42">
        <v>151.74070739746091</v>
      </c>
      <c r="M192" s="42">
        <v>111.0125274658203</v>
      </c>
      <c r="N192" s="42">
        <v>254.3066711425781</v>
      </c>
      <c r="O192" s="42">
        <v>137.41180419921881</v>
      </c>
      <c r="P192" s="42">
        <v>103.2664489746094</v>
      </c>
      <c r="Q192" s="42">
        <v>38.669998168945312</v>
      </c>
      <c r="R192" s="42">
        <v>253.05000305175781</v>
      </c>
      <c r="S192" s="42">
        <v>340.41046142578119</v>
      </c>
      <c r="T192" s="42">
        <v>307.76455688476562</v>
      </c>
      <c r="U192" s="42">
        <v>280.46063232421881</v>
      </c>
      <c r="V192" s="42">
        <v>774.1439208984375</v>
      </c>
      <c r="W192" s="42">
        <v>369.13653564453119</v>
      </c>
      <c r="X192" s="42">
        <v>93.480003356933594</v>
      </c>
      <c r="Y192" s="42">
        <v>184.70745849609381</v>
      </c>
      <c r="Z192" s="42">
        <v>306.76394653320312</v>
      </c>
      <c r="AA192" s="42">
        <v>67.516288757324219</v>
      </c>
      <c r="AB192" s="42">
        <v>109.81939697265619</v>
      </c>
      <c r="AC192" s="42">
        <v>290.94659423828119</v>
      </c>
      <c r="AD192" s="42">
        <v>88.51019287109375</v>
      </c>
      <c r="AE192" s="42">
        <v>161.3409118652344</v>
      </c>
      <c r="AF192" s="42">
        <v>513.5843505859375</v>
      </c>
      <c r="AG192" s="42">
        <v>223.55133056640619</v>
      </c>
      <c r="AH192" s="42">
        <v>79.125999450683594</v>
      </c>
      <c r="AI192" s="42">
        <v>116.2576904296875</v>
      </c>
      <c r="AJ192" s="42">
        <v>202.23207092285159</v>
      </c>
      <c r="AK192" s="42">
        <v>23.29000091552734</v>
      </c>
      <c r="AL192" s="42">
        <v>63.550262451171882</v>
      </c>
      <c r="AM192" s="42">
        <v>147.0959167480469</v>
      </c>
      <c r="AN192" s="42">
        <v>766.4482421875</v>
      </c>
      <c r="AO192" s="42">
        <v>23.89999961853027</v>
      </c>
      <c r="AP192" s="42">
        <v>121.2679748535156</v>
      </c>
      <c r="AQ192" s="42">
        <v>72.262092590332031</v>
      </c>
      <c r="AR192" s="42">
        <v>177.2096252441406</v>
      </c>
      <c r="AS192" s="42">
        <v>648.47479248046875</v>
      </c>
      <c r="AT192" s="42">
        <v>341.69869995117188</v>
      </c>
      <c r="AU192" s="42">
        <v>138.45085144042969</v>
      </c>
      <c r="AV192" s="42">
        <v>158.78900146484381</v>
      </c>
      <c r="AW192" s="42">
        <v>334.7496337890625</v>
      </c>
      <c r="AX192" s="42">
        <v>215.82136535644531</v>
      </c>
      <c r="AY192" s="42">
        <v>100.33522033691411</v>
      </c>
      <c r="AZ192" s="42">
        <v>6840.2001953125</v>
      </c>
    </row>
    <row r="193" spans="1:52" ht="16" x14ac:dyDescent="0.2">
      <c r="A193" s="39">
        <v>45962</v>
      </c>
      <c r="B193" s="40">
        <v>278.09304809570312</v>
      </c>
      <c r="C193" s="40">
        <v>126.5481719970703</v>
      </c>
      <c r="D193" s="40">
        <v>320.1300048828125</v>
      </c>
      <c r="E193" s="40">
        <v>120.1999969482422</v>
      </c>
      <c r="F193" s="40">
        <v>338.532958984375</v>
      </c>
      <c r="G193" s="40">
        <v>233.2200012207031</v>
      </c>
      <c r="H193" s="40">
        <v>572.26300048828125</v>
      </c>
      <c r="I193" s="40">
        <v>24.111507415771481</v>
      </c>
      <c r="J193" s="40">
        <v>909.5755615234375</v>
      </c>
      <c r="K193" s="40">
        <v>75.834335327148438</v>
      </c>
      <c r="L193" s="40">
        <v>147.02442932128909</v>
      </c>
      <c r="M193" s="40">
        <v>102.9788513183594</v>
      </c>
      <c r="N193" s="40">
        <v>272.91348266601562</v>
      </c>
      <c r="O193" s="40">
        <v>131.88731384277341</v>
      </c>
      <c r="P193" s="40">
        <v>105.2275772094727</v>
      </c>
      <c r="Q193" s="40">
        <v>44.169998168945312</v>
      </c>
      <c r="R193" s="40">
        <v>239.1600036621094</v>
      </c>
      <c r="S193" s="40">
        <v>337.18304443359381</v>
      </c>
      <c r="T193" s="40">
        <v>297.30487060546881</v>
      </c>
      <c r="U193" s="40">
        <v>319.3494873046875</v>
      </c>
      <c r="V193" s="40">
        <v>810.1065673828125</v>
      </c>
      <c r="W193" s="40">
        <v>347.09085083007812</v>
      </c>
      <c r="X193" s="40">
        <v>104.4599990844727</v>
      </c>
      <c r="Y193" s="40">
        <v>203.6445007324219</v>
      </c>
      <c r="Z193" s="40">
        <v>308.69650268554688</v>
      </c>
      <c r="AA193" s="40">
        <v>71.651542663574219</v>
      </c>
      <c r="AB193" s="40">
        <v>113.838752746582</v>
      </c>
      <c r="AC193" s="40">
        <v>304.00088500976562</v>
      </c>
      <c r="AD193" s="40">
        <v>102.786979675293</v>
      </c>
      <c r="AE193" s="40">
        <v>166.9091491699219</v>
      </c>
      <c r="AF193" s="40">
        <v>488.90829467773438</v>
      </c>
      <c r="AG193" s="40">
        <v>236.2489013671875</v>
      </c>
      <c r="AH193" s="40">
        <v>84.4473876953125</v>
      </c>
      <c r="AI193" s="40">
        <v>110.1180801391602</v>
      </c>
      <c r="AJ193" s="40">
        <v>176.7745361328125</v>
      </c>
      <c r="AK193" s="40">
        <v>24.39999961853027</v>
      </c>
      <c r="AL193" s="40">
        <v>70.149009704589844</v>
      </c>
      <c r="AM193" s="40">
        <v>144.93403625488281</v>
      </c>
      <c r="AN193" s="40">
        <v>856.43243408203125</v>
      </c>
      <c r="AO193" s="40">
        <v>22.909999847412109</v>
      </c>
      <c r="AP193" s="40">
        <v>125.60699462890619</v>
      </c>
      <c r="AQ193" s="40">
        <v>88.744384765625</v>
      </c>
      <c r="AR193" s="40">
        <v>164.66096496582031</v>
      </c>
      <c r="AS193" s="40">
        <v>777.18292236328125</v>
      </c>
      <c r="AT193" s="40">
        <v>341.25607299804688</v>
      </c>
      <c r="AU193" s="40">
        <v>150.52220153808591</v>
      </c>
      <c r="AV193" s="40">
        <v>165.48634338378909</v>
      </c>
      <c r="AW193" s="40">
        <v>323.19473266601562</v>
      </c>
      <c r="AX193" s="40">
        <v>227.04484558105469</v>
      </c>
      <c r="AY193" s="40">
        <v>109.5873260498047</v>
      </c>
      <c r="AZ193" s="40">
        <v>6849.08984375</v>
      </c>
    </row>
    <row r="194" spans="1:52" ht="16" x14ac:dyDescent="0.2">
      <c r="A194" s="41">
        <v>45992</v>
      </c>
      <c r="B194" s="42">
        <v>271.12200927734381</v>
      </c>
      <c r="C194" s="42">
        <v>123.00405120849609</v>
      </c>
      <c r="D194" s="42">
        <v>349.989990234375</v>
      </c>
      <c r="E194" s="42">
        <v>107.38999938964839</v>
      </c>
      <c r="F194" s="42">
        <v>320.74691772460938</v>
      </c>
      <c r="G194" s="42">
        <v>230.82000732421881</v>
      </c>
      <c r="H194" s="42">
        <v>569.3905029296875</v>
      </c>
      <c r="I194" s="42">
        <v>27.002359390258789</v>
      </c>
      <c r="J194" s="42">
        <v>858.55072021484375</v>
      </c>
      <c r="K194" s="42">
        <v>75.923042297363281</v>
      </c>
      <c r="L194" s="42">
        <v>148.2696533203125</v>
      </c>
      <c r="M194" s="42">
        <v>112.9048690795898</v>
      </c>
      <c r="N194" s="42">
        <v>261.106689453125</v>
      </c>
      <c r="O194" s="42">
        <v>131.23469543457031</v>
      </c>
      <c r="P194" s="42">
        <v>102.4566345214844</v>
      </c>
      <c r="Q194" s="42">
        <v>43.830001831054688</v>
      </c>
      <c r="R194" s="42">
        <v>255.25999450683591</v>
      </c>
      <c r="S194" s="42">
        <v>332.27774047851562</v>
      </c>
      <c r="T194" s="42">
        <v>307.19900512695312</v>
      </c>
      <c r="U194" s="42">
        <v>312.39230346679688</v>
      </c>
      <c r="V194" s="42">
        <v>866.318603515625</v>
      </c>
      <c r="W194" s="42">
        <v>336.78814697265619</v>
      </c>
      <c r="X194" s="42">
        <v>98.769996643066406</v>
      </c>
      <c r="Y194" s="42">
        <v>203.67402648925781</v>
      </c>
      <c r="Z194" s="42">
        <v>317.70855712890619</v>
      </c>
      <c r="AA194" s="42">
        <v>68.9871826171875</v>
      </c>
      <c r="AB194" s="42">
        <v>116.75083923339839</v>
      </c>
      <c r="AC194" s="42">
        <v>299.75411987304688</v>
      </c>
      <c r="AD194" s="42">
        <v>94.4300537109375</v>
      </c>
      <c r="AE194" s="42">
        <v>174.65155029296881</v>
      </c>
      <c r="AF194" s="42">
        <v>480.57113647460938</v>
      </c>
      <c r="AG194" s="42">
        <v>285.24627685546881</v>
      </c>
      <c r="AH194" s="42">
        <v>78.565719604492188</v>
      </c>
      <c r="AI194" s="42">
        <v>105.7058639526367</v>
      </c>
      <c r="AJ194" s="42">
        <v>186.2727966308594</v>
      </c>
      <c r="AK194" s="42">
        <v>24.030000686645511</v>
      </c>
      <c r="AL194" s="42">
        <v>70.804069519042969</v>
      </c>
      <c r="AM194" s="42">
        <v>140.18965148925781</v>
      </c>
      <c r="AN194" s="42">
        <v>873.58697509765625</v>
      </c>
      <c r="AO194" s="42">
        <v>32</v>
      </c>
      <c r="AP194" s="42">
        <v>125.7286682128906</v>
      </c>
      <c r="AQ194" s="42">
        <v>86.862525939941406</v>
      </c>
      <c r="AR194" s="42">
        <v>168.416748046875</v>
      </c>
      <c r="AS194" s="42">
        <v>768.89501953125</v>
      </c>
      <c r="AT194" s="42">
        <v>321.73532104492188</v>
      </c>
      <c r="AU194" s="42">
        <v>152.1966552734375</v>
      </c>
      <c r="AV194" s="42">
        <v>170.61997985839841</v>
      </c>
      <c r="AW194" s="42">
        <v>325.70318603515619</v>
      </c>
      <c r="AX194" s="42">
        <v>227.87059020996091</v>
      </c>
      <c r="AY194" s="42">
        <v>110.7050247192383</v>
      </c>
      <c r="AZ194" s="42">
        <v>6845.5</v>
      </c>
    </row>
    <row r="195" spans="1:52" ht="16" x14ac:dyDescent="0.2">
      <c r="A195" s="39">
        <v>46023</v>
      </c>
      <c r="B195" s="40">
        <v>258.775634765625</v>
      </c>
      <c r="C195" s="40">
        <v>107.84934997558589</v>
      </c>
      <c r="D195" s="40">
        <v>293.25</v>
      </c>
      <c r="E195" s="40">
        <v>103.48000335693359</v>
      </c>
      <c r="F195" s="40">
        <v>335.0247802734375</v>
      </c>
      <c r="G195" s="40">
        <v>239.30000305175781</v>
      </c>
      <c r="H195" s="40">
        <v>654.89599609375</v>
      </c>
      <c r="I195" s="40">
        <v>29.01274299621582</v>
      </c>
      <c r="J195" s="40">
        <v>937.39727783203125</v>
      </c>
      <c r="K195" s="40">
        <v>77.607566833496094</v>
      </c>
      <c r="L195" s="40">
        <v>172.09437561035159</v>
      </c>
      <c r="M195" s="40">
        <v>111.942253112793</v>
      </c>
      <c r="N195" s="40">
        <v>280.47186279296881</v>
      </c>
      <c r="O195" s="40">
        <v>145.3153381347656</v>
      </c>
      <c r="P195" s="40">
        <v>110.446418762207</v>
      </c>
      <c r="Q195" s="40">
        <v>41.360000610351562</v>
      </c>
      <c r="R195" s="40">
        <v>275.6099853515625</v>
      </c>
      <c r="S195" s="40">
        <v>347.93545532226562</v>
      </c>
      <c r="T195" s="40">
        <v>305.96237182617188</v>
      </c>
      <c r="U195" s="40">
        <v>337.34378051757812</v>
      </c>
      <c r="V195" s="40">
        <v>921.914794921875</v>
      </c>
      <c r="W195" s="40">
        <v>366.6302490234375</v>
      </c>
      <c r="X195" s="40">
        <v>100.0699996948242</v>
      </c>
      <c r="Y195" s="40">
        <v>223.6526794433594</v>
      </c>
      <c r="Z195" s="40">
        <v>302.96768188476562</v>
      </c>
      <c r="AA195" s="40">
        <v>73.822494506835938</v>
      </c>
      <c r="AB195" s="40">
        <v>124.08056640625</v>
      </c>
      <c r="AC195" s="40">
        <v>308.9439697265625</v>
      </c>
      <c r="AD195" s="40">
        <v>101.2129745483398</v>
      </c>
      <c r="AE195" s="40">
        <v>180.8274841308594</v>
      </c>
      <c r="AF195" s="40">
        <v>427.577392578125</v>
      </c>
      <c r="AG195" s="40">
        <v>414.64199829101562</v>
      </c>
      <c r="AH195" s="40">
        <v>86.023002624511719</v>
      </c>
      <c r="AI195" s="40">
        <v>95.5687255859375</v>
      </c>
      <c r="AJ195" s="40">
        <v>190.89717102050781</v>
      </c>
      <c r="AK195" s="40">
        <v>30.10000038146973</v>
      </c>
      <c r="AL195" s="40">
        <v>76.285362243652344</v>
      </c>
      <c r="AM195" s="40">
        <v>149.51954650878909</v>
      </c>
      <c r="AN195" s="40">
        <v>930.1192626953125</v>
      </c>
      <c r="AO195" s="40">
        <v>34.569999694824219</v>
      </c>
      <c r="AP195" s="40">
        <v>128.58479309082031</v>
      </c>
      <c r="AQ195" s="40">
        <v>84.990585327148438</v>
      </c>
      <c r="AR195" s="40">
        <v>149.2563171386719</v>
      </c>
      <c r="AS195" s="40">
        <v>738.59228515625</v>
      </c>
      <c r="AT195" s="40">
        <v>352.1285400390625</v>
      </c>
      <c r="AU195" s="40">
        <v>148.43162536621091</v>
      </c>
      <c r="AV195" s="40">
        <v>213.36785888671881</v>
      </c>
      <c r="AW195" s="40">
        <v>283.099609375</v>
      </c>
      <c r="AX195" s="40">
        <v>231.59422302246091</v>
      </c>
      <c r="AY195" s="40">
        <v>118.3861083984375</v>
      </c>
      <c r="AZ195" s="40">
        <v>6939.02978515625</v>
      </c>
    </row>
    <row r="196" spans="1:52" ht="16" x14ac:dyDescent="0.2">
      <c r="A196" s="41">
        <v>46054</v>
      </c>
      <c r="B196" s="42">
        <v>263.70941162109381</v>
      </c>
      <c r="C196" s="42">
        <v>114.805778503418</v>
      </c>
      <c r="D196" s="42">
        <v>262.41000366210938</v>
      </c>
      <c r="E196" s="42">
        <v>103.5299987792969</v>
      </c>
      <c r="F196" s="42">
        <v>383.012451171875</v>
      </c>
      <c r="G196" s="42">
        <v>210</v>
      </c>
      <c r="H196" s="42">
        <v>740.045654296875</v>
      </c>
      <c r="I196" s="42">
        <v>30.192754745483398</v>
      </c>
      <c r="J196" s="42">
        <v>1007.723266601562</v>
      </c>
      <c r="K196" s="42">
        <v>78.737197875976562</v>
      </c>
      <c r="L196" s="42">
        <v>183.4638366699219</v>
      </c>
      <c r="M196" s="42">
        <v>105.2336502075195</v>
      </c>
      <c r="N196" s="42">
        <v>306.68997192382812</v>
      </c>
      <c r="O196" s="42">
        <v>149.6357421875</v>
      </c>
      <c r="P196" s="42">
        <v>122.2170028686523</v>
      </c>
      <c r="Q196" s="42">
        <v>44.060001373291023</v>
      </c>
      <c r="R196" s="42">
        <v>271.3599853515625</v>
      </c>
      <c r="S196" s="42">
        <v>353.84188842773438</v>
      </c>
      <c r="T196" s="42">
        <v>341.33670043945312</v>
      </c>
      <c r="U196" s="42">
        <v>311.15472412109381</v>
      </c>
      <c r="V196" s="42">
        <v>847.1689453125</v>
      </c>
      <c r="W196" s="42">
        <v>372.6300048828125</v>
      </c>
      <c r="X196" s="42">
        <v>101.26999664306641</v>
      </c>
      <c r="Y196" s="42">
        <v>245.79718017578119</v>
      </c>
      <c r="Z196" s="42">
        <v>297.43106079101562</v>
      </c>
      <c r="AA196" s="42">
        <v>80.4833984375</v>
      </c>
      <c r="AB196" s="42">
        <v>133.78861999511719</v>
      </c>
      <c r="AC196" s="42">
        <v>334.5029296875</v>
      </c>
      <c r="AD196" s="42">
        <v>96.002906799316406</v>
      </c>
      <c r="AE196" s="42">
        <v>164.71324157714841</v>
      </c>
      <c r="AF196" s="42">
        <v>391.15484619140619</v>
      </c>
      <c r="AG196" s="42">
        <v>412.13345336914062</v>
      </c>
      <c r="AH196" s="42">
        <v>92.393386840820312</v>
      </c>
      <c r="AI196" s="42">
        <v>98.226997375488281</v>
      </c>
      <c r="AJ196" s="42">
        <v>176.9741516113281</v>
      </c>
      <c r="AK196" s="42">
        <v>35.5</v>
      </c>
      <c r="AL196" s="42">
        <v>80.826156616210938</v>
      </c>
      <c r="AM196" s="42">
        <v>164.7207336425781</v>
      </c>
      <c r="AN196" s="42">
        <v>1004.880249023438</v>
      </c>
      <c r="AO196" s="42">
        <v>37.430000305175781</v>
      </c>
      <c r="AP196" s="42">
        <v>140.41310119628909</v>
      </c>
      <c r="AQ196" s="42">
        <v>80.144088745117188</v>
      </c>
      <c r="AR196" s="42">
        <v>140.1684265136719</v>
      </c>
      <c r="AS196" s="42">
        <v>779.5938720703125</v>
      </c>
      <c r="AT196" s="42">
        <v>360.022216796875</v>
      </c>
      <c r="AU196" s="42">
        <v>160.62542724609381</v>
      </c>
      <c r="AV196" s="42">
        <v>209.9626770019531</v>
      </c>
      <c r="AW196" s="42">
        <v>289.35494995117188</v>
      </c>
      <c r="AX196" s="42">
        <v>262.39276123046881</v>
      </c>
      <c r="AY196" s="42">
        <v>127.1403503417969</v>
      </c>
      <c r="AZ196" s="42">
        <v>6878.8798828125</v>
      </c>
    </row>
    <row r="197" spans="1:52" ht="16" x14ac:dyDescent="0.2">
      <c r="A197" s="39">
        <v>46082</v>
      </c>
      <c r="B197" s="40">
        <v>253.33790588378909</v>
      </c>
      <c r="C197" s="40">
        <v>101.3073425292969</v>
      </c>
      <c r="D197" s="40">
        <v>243.08000183105469</v>
      </c>
      <c r="E197" s="40">
        <v>93.650001525878906</v>
      </c>
      <c r="F197" s="40">
        <v>347.18399047851562</v>
      </c>
      <c r="G197" s="40">
        <v>208.27000427246091</v>
      </c>
      <c r="H197" s="40">
        <v>705.80450439453125</v>
      </c>
      <c r="I197" s="40">
        <v>27.998516082763668</v>
      </c>
      <c r="J197" s="40">
        <v>993.40679931640625</v>
      </c>
      <c r="K197" s="40">
        <v>76.884208679199219</v>
      </c>
      <c r="L197" s="40">
        <v>203.24836730957031</v>
      </c>
      <c r="M197" s="40">
        <v>95.647109985351562</v>
      </c>
      <c r="N197" s="40">
        <v>265.29696655273438</v>
      </c>
      <c r="O197" s="40">
        <v>130.05157470703119</v>
      </c>
      <c r="P197" s="40">
        <v>142.39935302734381</v>
      </c>
      <c r="Q197" s="40">
        <v>42.889999389648438</v>
      </c>
      <c r="R197" s="40">
        <v>289.32998657226562</v>
      </c>
      <c r="S197" s="40">
        <v>340.13616943359381</v>
      </c>
      <c r="T197" s="40">
        <v>283.41671752929688</v>
      </c>
      <c r="U197" s="40">
        <v>287.2037353515625</v>
      </c>
      <c r="V197" s="40">
        <v>838.1728515625</v>
      </c>
      <c r="W197" s="40">
        <v>324.053466796875</v>
      </c>
      <c r="X197" s="40">
        <v>94.120002746582031</v>
      </c>
      <c r="Y197" s="40">
        <v>241.84947204589841</v>
      </c>
      <c r="Z197" s="40">
        <v>291.3497314453125</v>
      </c>
      <c r="AA197" s="40">
        <v>75.562149047851562</v>
      </c>
      <c r="AB197" s="40">
        <v>118.2643737792969</v>
      </c>
      <c r="AC197" s="40">
        <v>306.5177001953125</v>
      </c>
      <c r="AD197" s="40">
        <v>85.87518310546875</v>
      </c>
      <c r="AE197" s="40">
        <v>162.794189453125</v>
      </c>
      <c r="AF197" s="40">
        <v>368.67596435546881</v>
      </c>
      <c r="AG197" s="40">
        <v>337.78805541992188</v>
      </c>
      <c r="AH197" s="40">
        <v>91.516456604003906</v>
      </c>
      <c r="AI197" s="40">
        <v>101.55975341796881</v>
      </c>
      <c r="AJ197" s="40">
        <v>174.19697570800781</v>
      </c>
      <c r="AK197" s="40">
        <v>35.470001220703118</v>
      </c>
      <c r="AL197" s="40">
        <v>88.267204284667969</v>
      </c>
      <c r="AM197" s="40">
        <v>142.29823303222659</v>
      </c>
      <c r="AN197" s="40">
        <v>891.42572021484375</v>
      </c>
      <c r="AO197" s="40">
        <v>40.409999847412109</v>
      </c>
      <c r="AP197" s="40">
        <v>131.22758483886719</v>
      </c>
      <c r="AQ197" s="40">
        <v>74.768692016601562</v>
      </c>
      <c r="AR197" s="40">
        <v>127.611572265625</v>
      </c>
      <c r="AS197" s="40">
        <v>770.587890625</v>
      </c>
      <c r="AT197" s="40">
        <v>318.98373413085938</v>
      </c>
      <c r="AU197" s="40">
        <v>158.67796325683591</v>
      </c>
      <c r="AV197" s="40">
        <v>192.17460632324219</v>
      </c>
      <c r="AW197" s="40">
        <v>269.05331420898438</v>
      </c>
      <c r="AX197" s="40">
        <v>240.2510681152344</v>
      </c>
      <c r="AY197" s="40">
        <v>123.7470245361328</v>
      </c>
      <c r="AZ197" s="40">
        <v>6528.52001953125</v>
      </c>
    </row>
    <row r="198" spans="1:52" ht="16" x14ac:dyDescent="0.2">
      <c r="A198" s="41">
        <v>46113</v>
      </c>
      <c r="B198" s="42">
        <v>270.86663818359381</v>
      </c>
      <c r="C198" s="42">
        <v>90.147041320800781</v>
      </c>
      <c r="D198" s="42">
        <v>246.1000061035156</v>
      </c>
      <c r="E198" s="42">
        <v>96.889999389648438</v>
      </c>
      <c r="F198" s="42">
        <v>341.65823364257812</v>
      </c>
      <c r="G198" s="42">
        <v>265.05999755859381</v>
      </c>
      <c r="H198" s="42">
        <v>888.4617919921875</v>
      </c>
      <c r="I198" s="42">
        <v>26.676528930664059</v>
      </c>
      <c r="J198" s="42">
        <v>1011.451965332031</v>
      </c>
      <c r="K198" s="42">
        <v>91.158981323242188</v>
      </c>
      <c r="L198" s="42">
        <v>189.89823913574219</v>
      </c>
      <c r="M198" s="42">
        <v>102.961067199707</v>
      </c>
      <c r="N198" s="42">
        <v>259.89169311523438</v>
      </c>
      <c r="O198" s="42">
        <v>139.4019470214844</v>
      </c>
      <c r="P198" s="42">
        <v>139.5344543457031</v>
      </c>
      <c r="Q198" s="42">
        <v>44.459999084472663</v>
      </c>
      <c r="R198" s="42">
        <v>323.89999389648438</v>
      </c>
      <c r="S198" s="42">
        <v>342.79132080078119</v>
      </c>
      <c r="T198" s="42">
        <v>289.56903076171881</v>
      </c>
      <c r="U198" s="42">
        <v>384.3232421875</v>
      </c>
      <c r="V198" s="42">
        <v>915.23419189453125</v>
      </c>
      <c r="W198" s="42">
        <v>323.96475219726562</v>
      </c>
      <c r="X198" s="42">
        <v>95.269996643066406</v>
      </c>
      <c r="Y198" s="42">
        <v>227.4140930175781</v>
      </c>
      <c r="Z198" s="42">
        <v>311.82525634765619</v>
      </c>
      <c r="AA198" s="42">
        <v>78.254768371582031</v>
      </c>
      <c r="AB198" s="42">
        <v>111.21241760253911</v>
      </c>
      <c r="AC198" s="42">
        <v>289.55413818359381</v>
      </c>
      <c r="AD198" s="42">
        <v>80.245979309082031</v>
      </c>
      <c r="AE198" s="42">
        <v>189.54658508300781</v>
      </c>
      <c r="AF198" s="42">
        <v>406.1341552734375</v>
      </c>
      <c r="AG198" s="42">
        <v>517.0804443359375</v>
      </c>
      <c r="AH198" s="42">
        <v>96.443046569824219</v>
      </c>
      <c r="AI198" s="42">
        <v>110.4345779418945</v>
      </c>
      <c r="AJ198" s="42">
        <v>199.3376770019531</v>
      </c>
      <c r="AK198" s="42">
        <v>37.540000915527337</v>
      </c>
      <c r="AL198" s="42">
        <v>90.288589477539062</v>
      </c>
      <c r="AM198" s="42">
        <v>146.00010681152341</v>
      </c>
      <c r="AN198" s="42">
        <v>905.5452880859375</v>
      </c>
      <c r="AO198" s="42">
        <v>49.479999542236328</v>
      </c>
      <c r="AP198" s="42">
        <v>140.9967041015625</v>
      </c>
      <c r="AQ198" s="42">
        <v>84.1483154296875</v>
      </c>
      <c r="AR198" s="42">
        <v>177.95066833496091</v>
      </c>
      <c r="AS198" s="42">
        <v>705.18206787109375</v>
      </c>
      <c r="AT198" s="42">
        <v>320.03854370117188</v>
      </c>
      <c r="AU198" s="42">
        <v>155.74684143066409</v>
      </c>
      <c r="AV198" s="42">
        <v>278.23443603515619</v>
      </c>
      <c r="AW198" s="42">
        <v>368.37603759765619</v>
      </c>
      <c r="AX198" s="42">
        <v>266.84881591796881</v>
      </c>
      <c r="AY198" s="42">
        <v>131.36421203613281</v>
      </c>
      <c r="AZ198" s="42">
        <v>7209.009765625</v>
      </c>
    </row>
    <row r="199" spans="1:52" ht="16" x14ac:dyDescent="0.2">
      <c r="A199" s="39">
        <v>46143</v>
      </c>
      <c r="B199" s="40">
        <v>311.79110717773438</v>
      </c>
      <c r="C199" s="40">
        <v>84.993797302246094</v>
      </c>
      <c r="D199" s="40">
        <v>259.20999145507812</v>
      </c>
      <c r="E199" s="40">
        <v>91.680000305175781</v>
      </c>
      <c r="F199" s="40">
        <v>334.83322143554688</v>
      </c>
      <c r="G199" s="40">
        <v>270.6400146484375</v>
      </c>
      <c r="H199" s="40">
        <v>874.2481689453125</v>
      </c>
      <c r="I199" s="40">
        <v>24.535697937011719</v>
      </c>
      <c r="J199" s="40">
        <v>954.80194091796875</v>
      </c>
      <c r="K199" s="40">
        <v>119.97119140625</v>
      </c>
      <c r="L199" s="40">
        <v>180.88142395019531</v>
      </c>
      <c r="M199" s="40">
        <v>101.0556716918945</v>
      </c>
      <c r="N199" s="40">
        <v>255.30419921875</v>
      </c>
      <c r="O199" s="40">
        <v>143.33392333984381</v>
      </c>
      <c r="P199" s="40">
        <v>132.3974304199219</v>
      </c>
      <c r="Q199" s="40">
        <v>50.479999542236328</v>
      </c>
      <c r="R199" s="40">
        <v>383.45001220703119</v>
      </c>
      <c r="S199" s="40">
        <v>345.30029296875</v>
      </c>
      <c r="T199" s="40">
        <v>323.35693359375</v>
      </c>
      <c r="U199" s="40">
        <v>379.8687744140625</v>
      </c>
      <c r="V199" s="40">
        <v>1016.083679199219</v>
      </c>
      <c r="W199" s="40">
        <v>312.47625732421881</v>
      </c>
      <c r="X199" s="40">
        <v>96.739997863769531</v>
      </c>
      <c r="Y199" s="40">
        <v>224.22413635253909</v>
      </c>
      <c r="Z199" s="40">
        <v>297.96768188476562</v>
      </c>
      <c r="AA199" s="40">
        <v>78.503158569335938</v>
      </c>
      <c r="AB199" s="40">
        <v>108.92909240722661</v>
      </c>
      <c r="AC199" s="40">
        <v>275.3619384765625</v>
      </c>
      <c r="AD199" s="40">
        <v>73.149993896484375</v>
      </c>
      <c r="AE199" s="40">
        <v>206.86128234863281</v>
      </c>
      <c r="AF199" s="40">
        <v>449.39401245117188</v>
      </c>
      <c r="AG199" s="40">
        <v>970.8507080078125</v>
      </c>
      <c r="AH199" s="40">
        <v>85.732635498046875</v>
      </c>
      <c r="AI199" s="40">
        <v>173.7622375488281</v>
      </c>
      <c r="AJ199" s="40">
        <v>210.89421081542969</v>
      </c>
      <c r="AK199" s="40">
        <v>38.229999542236328</v>
      </c>
      <c r="AL199" s="40">
        <v>82.950950622558594</v>
      </c>
      <c r="AM199" s="40">
        <v>142.49626159667969</v>
      </c>
      <c r="AN199" s="40">
        <v>842.93231201171875</v>
      </c>
      <c r="AO199" s="40">
        <v>32.349998474121087</v>
      </c>
      <c r="AP199" s="40">
        <v>142.4362487792969</v>
      </c>
      <c r="AQ199" s="40">
        <v>81.56494140625</v>
      </c>
      <c r="AR199" s="40">
        <v>248.74250793457031</v>
      </c>
      <c r="AS199" s="40">
        <v>614.06298828125</v>
      </c>
      <c r="AT199" s="40">
        <v>303.13931274414062</v>
      </c>
      <c r="AU199" s="40">
        <v>154.2632751464844</v>
      </c>
      <c r="AV199" s="40">
        <v>304.12286376953119</v>
      </c>
      <c r="AW199" s="40">
        <v>378.15020751953119</v>
      </c>
      <c r="AX199" s="40">
        <v>261.42681884765619</v>
      </c>
      <c r="AY199" s="40">
        <v>115.4735565185547</v>
      </c>
      <c r="AZ199" s="40">
        <v>7580.06005859375</v>
      </c>
    </row>
    <row r="200" spans="1:52" ht="16" x14ac:dyDescent="0.2">
      <c r="A200" s="41">
        <v>46174</v>
      </c>
      <c r="B200" s="42">
        <v>289.11065673828119</v>
      </c>
      <c r="C200" s="42">
        <v>90.097396850585938</v>
      </c>
      <c r="D200" s="42">
        <v>205.02000427246091</v>
      </c>
      <c r="E200" s="42">
        <v>100.4700012207031</v>
      </c>
      <c r="F200" s="42">
        <v>360.01605224609381</v>
      </c>
      <c r="G200" s="42">
        <v>238.3399963378906</v>
      </c>
      <c r="H200" s="42">
        <v>1062.92822265625</v>
      </c>
      <c r="I200" s="42">
        <v>24.219999313354489</v>
      </c>
      <c r="J200" s="42">
        <v>933.9849853515625</v>
      </c>
      <c r="K200" s="42">
        <v>117.0222244262695</v>
      </c>
      <c r="L200" s="42">
        <v>164.3258972167969</v>
      </c>
      <c r="M200" s="42">
        <v>96.25</v>
      </c>
      <c r="N200" s="42">
        <v>278.6099853515625</v>
      </c>
      <c r="O200" s="42">
        <v>142.6661682128906</v>
      </c>
      <c r="P200" s="42">
        <v>128.77430725097659</v>
      </c>
      <c r="Q200" s="42">
        <v>54.409999847412109</v>
      </c>
      <c r="R200" s="42">
        <v>415.95999145507812</v>
      </c>
      <c r="S200" s="42">
        <v>352.68777465820312</v>
      </c>
      <c r="T200" s="42">
        <v>373.26473999023438</v>
      </c>
      <c r="U200" s="42">
        <v>357.14044189453119</v>
      </c>
      <c r="V200" s="42">
        <v>1006.440856933594</v>
      </c>
      <c r="W200" s="42">
        <v>350.10000610351562</v>
      </c>
      <c r="X200" s="42">
        <v>113.36000061035161</v>
      </c>
      <c r="Y200" s="42">
        <v>252.72358703613281</v>
      </c>
      <c r="Z200" s="42">
        <v>325.86199951171881</v>
      </c>
      <c r="AA200" s="42">
        <v>81.269996643066406</v>
      </c>
      <c r="AB200" s="42">
        <v>123.39117431640619</v>
      </c>
      <c r="AC200" s="42">
        <v>268.4022216796875</v>
      </c>
      <c r="AD200" s="42">
        <v>78.230003356933594</v>
      </c>
      <c r="AE200" s="42">
        <v>207.89558410644531</v>
      </c>
      <c r="AF200" s="42">
        <v>372.319091796875</v>
      </c>
      <c r="AG200" s="42">
        <v>1154.112548828125</v>
      </c>
      <c r="AH200" s="42">
        <v>87.114906311035156</v>
      </c>
      <c r="AI200" s="42">
        <v>154.2913818359375</v>
      </c>
      <c r="AJ200" s="42">
        <v>200.0899963378906</v>
      </c>
      <c r="AK200" s="42">
        <v>40.520000457763672</v>
      </c>
      <c r="AL200" s="42">
        <v>85.915603637695312</v>
      </c>
      <c r="AM200" s="42">
        <v>145.5534362792969</v>
      </c>
      <c r="AN200" s="42">
        <v>976.15399169921875</v>
      </c>
      <c r="AO200" s="42">
        <v>32.529998779296882</v>
      </c>
      <c r="AP200" s="42">
        <v>135.4700012207031</v>
      </c>
      <c r="AQ200" s="42">
        <v>82.969490051269531</v>
      </c>
      <c r="AR200" s="42">
        <v>183.78971862792969</v>
      </c>
      <c r="AS200" s="42">
        <v>622.812744140625</v>
      </c>
      <c r="AT200" s="42">
        <v>343.5260009765625</v>
      </c>
      <c r="AU200" s="42">
        <v>151.02348327636719</v>
      </c>
      <c r="AV200" s="42">
        <v>296.5516357421875</v>
      </c>
      <c r="AW200" s="42">
        <v>415.6300048828125</v>
      </c>
      <c r="AX200" s="42">
        <v>270.74356079101562</v>
      </c>
      <c r="AY200" s="42">
        <v>112.989501953125</v>
      </c>
      <c r="AZ200" s="42">
        <v>7499.35986328125</v>
      </c>
    </row>
    <row r="201" spans="1:52" ht="16" x14ac:dyDescent="0.2">
      <c r="A201" s="39">
        <v>46204</v>
      </c>
      <c r="B201" s="40">
        <v>308.64382934570312</v>
      </c>
      <c r="C201" s="40">
        <v>105.6999969482422</v>
      </c>
      <c r="D201" s="40">
        <v>250.4100036621094</v>
      </c>
      <c r="E201" s="40">
        <v>115.48000335693359</v>
      </c>
      <c r="F201" s="40">
        <v>382.92218017578119</v>
      </c>
      <c r="G201" s="40">
        <v>271.57998657226562</v>
      </c>
      <c r="H201" s="40">
        <v>814.80999755859375</v>
      </c>
      <c r="I201" s="40">
        <v>23.95999908447266</v>
      </c>
      <c r="J201" s="40">
        <v>951.8900146484375</v>
      </c>
      <c r="K201" s="40">
        <v>115.9899978637695</v>
      </c>
      <c r="L201" s="40">
        <v>195.12709045410159</v>
      </c>
      <c r="M201" s="40">
        <v>96.19000244140625</v>
      </c>
      <c r="N201" s="40">
        <v>277.6300048828125</v>
      </c>
      <c r="O201" s="40">
        <v>149.31364440917969</v>
      </c>
      <c r="P201" s="40">
        <v>148.69000244140619</v>
      </c>
      <c r="Q201" s="40">
        <v>53.029998779296882</v>
      </c>
      <c r="R201" s="40">
        <v>402.57000732421881</v>
      </c>
      <c r="S201" s="40">
        <v>383.42001342773438</v>
      </c>
      <c r="T201" s="40">
        <v>360.07000732421881</v>
      </c>
      <c r="U201" s="40">
        <v>355.9012451171875</v>
      </c>
      <c r="V201" s="40">
        <v>1013.416687011719</v>
      </c>
      <c r="W201" s="40">
        <v>329.53158569335938</v>
      </c>
      <c r="X201" s="40">
        <v>119.51999664306641</v>
      </c>
      <c r="Y201" s="40">
        <v>255.09190368652341</v>
      </c>
      <c r="Z201" s="40">
        <v>351.79000854492188</v>
      </c>
      <c r="AA201" s="40">
        <v>87.589996337890625</v>
      </c>
      <c r="AB201" s="40">
        <v>110.4540328979492</v>
      </c>
      <c r="AC201" s="40">
        <v>268.72991943359381</v>
      </c>
      <c r="AD201" s="40">
        <v>85.389999389648438</v>
      </c>
      <c r="AE201" s="40">
        <v>210.41999816894531</v>
      </c>
      <c r="AF201" s="40">
        <v>463.8468017578125</v>
      </c>
      <c r="AG201" s="40">
        <v>823.030029296875</v>
      </c>
      <c r="AH201" s="40">
        <v>86.271247863769531</v>
      </c>
      <c r="AI201" s="40">
        <v>178.5</v>
      </c>
      <c r="AJ201" s="40">
        <v>200.75</v>
      </c>
      <c r="AK201" s="40">
        <v>48.779998779296882</v>
      </c>
      <c r="AL201" s="40">
        <v>89.739997863769531</v>
      </c>
      <c r="AM201" s="40">
        <v>144.49000549316409</v>
      </c>
      <c r="AN201" s="40">
        <v>974.56719970703125</v>
      </c>
      <c r="AO201" s="40">
        <v>30.29000091552734</v>
      </c>
      <c r="AP201" s="40">
        <v>144.61000061035159</v>
      </c>
      <c r="AQ201" s="40">
        <v>92.120750427246094</v>
      </c>
      <c r="AR201" s="40">
        <v>146.81097412109381</v>
      </c>
      <c r="AS201" s="40">
        <v>761.74053955078125</v>
      </c>
      <c r="AT201" s="40">
        <v>340.06399536132812</v>
      </c>
      <c r="AU201" s="40">
        <v>156.8451232910156</v>
      </c>
      <c r="AV201" s="40">
        <v>275.739990234375</v>
      </c>
      <c r="AW201" s="40">
        <v>414.39999389648438</v>
      </c>
      <c r="AX201" s="40">
        <v>290.78057861328119</v>
      </c>
      <c r="AY201" s="40">
        <v>110.9344177246094</v>
      </c>
      <c r="AZ201" s="40">
        <v>7489.72021484375</v>
      </c>
    </row>
    <row r="202" spans="1:52" ht="16" x14ac:dyDescent="0.2">
      <c r="A202" s="41">
        <v>46235</v>
      </c>
      <c r="B202" s="42">
        <v>316.85000610351562</v>
      </c>
      <c r="C202" s="42">
        <v>110.36000061035161</v>
      </c>
      <c r="D202" s="42">
        <v>292.79000854492188</v>
      </c>
      <c r="E202" s="42">
        <v>114.6699981689453</v>
      </c>
      <c r="F202" s="42">
        <v>429.8800048828125</v>
      </c>
      <c r="G202" s="42">
        <v>259.76998901367188</v>
      </c>
      <c r="H202" s="42">
        <v>797.469970703125</v>
      </c>
      <c r="I202" s="42">
        <v>26.620000839233398</v>
      </c>
      <c r="J202" s="42">
        <v>943.8900146484375</v>
      </c>
      <c r="K202" s="42">
        <v>110.4899978637695</v>
      </c>
      <c r="L202" s="42">
        <v>206.13999938964841</v>
      </c>
      <c r="M202" s="42">
        <v>107.5500030517578</v>
      </c>
      <c r="N202" s="42">
        <v>283.20001220703119</v>
      </c>
      <c r="O202" s="42">
        <v>152.44000244140619</v>
      </c>
      <c r="P202" s="42">
        <v>144.96000671386719</v>
      </c>
      <c r="Q202" s="42">
        <v>54.639999389648438</v>
      </c>
      <c r="R202" s="42">
        <v>407.1300048828125</v>
      </c>
      <c r="S202" s="42">
        <v>371.35000610351562</v>
      </c>
      <c r="T202" s="42">
        <v>335.70999145507812</v>
      </c>
      <c r="U202" s="42">
        <v>339.13201904296881</v>
      </c>
      <c r="V202" s="42">
        <v>1020.900024414062</v>
      </c>
      <c r="W202" s="42">
        <v>325.43179321289062</v>
      </c>
      <c r="X202" s="42">
        <v>123.2200012207031</v>
      </c>
      <c r="Y202" s="42">
        <v>265.85000610351562</v>
      </c>
      <c r="Z202" s="42">
        <v>356.01998901367188</v>
      </c>
      <c r="AA202" s="42">
        <v>88.669998168945312</v>
      </c>
      <c r="AB202" s="42">
        <v>114.9100036621094</v>
      </c>
      <c r="AC202" s="42">
        <v>261.68002319335938</v>
      </c>
      <c r="AD202" s="42">
        <v>90.650001525878906</v>
      </c>
      <c r="AE202" s="42">
        <v>213.32000732421881</v>
      </c>
      <c r="AF202" s="42">
        <v>507.29000854492188</v>
      </c>
      <c r="AG202" s="42">
        <v>958.72998046875</v>
      </c>
      <c r="AH202" s="42">
        <v>82.339996337890625</v>
      </c>
      <c r="AI202" s="42">
        <v>185.28999328613281</v>
      </c>
      <c r="AJ202" s="42">
        <v>220.7799987792969</v>
      </c>
      <c r="AK202" s="42">
        <v>51.759998321533203</v>
      </c>
      <c r="AL202" s="42">
        <v>96.010002136230469</v>
      </c>
      <c r="AM202" s="42">
        <v>145.1199951171875</v>
      </c>
      <c r="AN202" s="42">
        <v>979.44000244140625</v>
      </c>
      <c r="AO202" s="42">
        <v>28.139999389648441</v>
      </c>
      <c r="AP202" s="42">
        <v>139.91999816894531</v>
      </c>
      <c r="AQ202" s="42">
        <v>87.970001220703125</v>
      </c>
      <c r="AR202" s="42">
        <v>169.55717468261719</v>
      </c>
      <c r="AS202" s="42">
        <v>799.08001708984375</v>
      </c>
      <c r="AT202" s="42">
        <v>338.80999755859381</v>
      </c>
      <c r="AU202" s="42">
        <v>133.9100036621094</v>
      </c>
      <c r="AV202" s="42">
        <v>260.91000366210938</v>
      </c>
      <c r="AW202" s="42">
        <v>389.41000366210938</v>
      </c>
      <c r="AX202" s="42">
        <v>300.67001342773438</v>
      </c>
      <c r="AY202" s="42">
        <v>104.870002746582</v>
      </c>
      <c r="AZ202" s="42">
        <v>7686.14013671875</v>
      </c>
    </row>
    <row r="203" spans="1:52" ht="16" x14ac:dyDescent="0.2">
      <c r="A203" s="39">
        <v>46266</v>
      </c>
      <c r="B203" s="40">
        <v>315.33999633789062</v>
      </c>
      <c r="C203" s="40">
        <v>105.23000335693359</v>
      </c>
      <c r="D203" s="40">
        <v>254.86000061035159</v>
      </c>
      <c r="E203" s="40">
        <v>119.23000335693359</v>
      </c>
      <c r="F203" s="40">
        <v>391.26998901367188</v>
      </c>
      <c r="G203" s="40">
        <v>252.3999938964844</v>
      </c>
      <c r="H203" s="40">
        <v>815.55999755859375</v>
      </c>
      <c r="I203" s="40">
        <v>24.590000152587891</v>
      </c>
      <c r="J203" s="40">
        <v>902.5999755859375</v>
      </c>
      <c r="K203" s="40">
        <v>109.4300003051758</v>
      </c>
      <c r="L203" s="40">
        <v>213.80999755859381</v>
      </c>
      <c r="M203" s="40">
        <v>104.1800003051758</v>
      </c>
      <c r="N203" s="40">
        <v>272.20999145507812</v>
      </c>
      <c r="O203" s="40">
        <v>150.3399963378906</v>
      </c>
      <c r="P203" s="40">
        <v>147.00999450683591</v>
      </c>
      <c r="Q203" s="40">
        <v>58.330001831054688</v>
      </c>
      <c r="R203" s="40">
        <v>404.6300048828125</v>
      </c>
      <c r="S203" s="40">
        <v>352.67001342773438</v>
      </c>
      <c r="T203" s="40">
        <v>325.42001342773438</v>
      </c>
      <c r="U203" s="40">
        <v>330.64999389648438</v>
      </c>
      <c r="V203" s="40">
        <v>1028.780029296875</v>
      </c>
      <c r="W203" s="40">
        <v>310.45001220703119</v>
      </c>
      <c r="X203" s="40">
        <v>126.0100021362305</v>
      </c>
      <c r="Y203" s="40">
        <v>267.07998657226562</v>
      </c>
      <c r="Z203" s="40">
        <v>354.70999145507812</v>
      </c>
      <c r="AA203" s="40">
        <v>87.550003051757812</v>
      </c>
      <c r="AB203" s="40">
        <v>120.870002746582</v>
      </c>
      <c r="AC203" s="40">
        <v>253.47999572753909</v>
      </c>
      <c r="AD203" s="40">
        <v>91.889999389648438</v>
      </c>
      <c r="AE203" s="40">
        <v>215.3500061035156</v>
      </c>
      <c r="AF203" s="40">
        <v>491.64999389648438</v>
      </c>
      <c r="AG203" s="40">
        <v>1027.77001953125</v>
      </c>
      <c r="AH203" s="40">
        <v>82.650001525878906</v>
      </c>
      <c r="AI203" s="40">
        <v>184.74000549316409</v>
      </c>
      <c r="AJ203" s="40">
        <v>223.66999816894531</v>
      </c>
      <c r="AK203" s="40">
        <v>48.490001678466797</v>
      </c>
      <c r="AL203" s="40">
        <v>95.819999694824219</v>
      </c>
      <c r="AM203" s="40">
        <v>142.63999938964841</v>
      </c>
      <c r="AN203" s="40">
        <v>949.469970703125</v>
      </c>
      <c r="AO203" s="40">
        <v>29.10000038146973</v>
      </c>
      <c r="AP203" s="40">
        <v>135.6600036621094</v>
      </c>
      <c r="AQ203" s="40">
        <v>88.290000915527344</v>
      </c>
      <c r="AR203" s="40">
        <v>176.3999938964844</v>
      </c>
      <c r="AS203" s="40">
        <v>807.6500244140625</v>
      </c>
      <c r="AT203" s="40">
        <v>320.6400146484375</v>
      </c>
      <c r="AU203" s="40">
        <v>126.120002746582</v>
      </c>
      <c r="AV203" s="40">
        <v>261.58999633789062</v>
      </c>
      <c r="AW203" s="40">
        <v>393.05999755859381</v>
      </c>
      <c r="AX203" s="40">
        <v>284.739990234375</v>
      </c>
      <c r="AY203" s="40">
        <v>105.8300018310547</v>
      </c>
      <c r="AZ203" s="40">
        <v>7636.35986328125</v>
      </c>
    </row>
  </sheetData>
  <mergeCells count="1">
    <mergeCell ref="A1:A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2"/>
  <sheetViews>
    <sheetView workbookViewId="0">
      <pane xSplit="1" ySplit="2" topLeftCell="B3" activePane="bottomRight" state="frozen"/>
      <selection pane="topRight"/>
      <selection pane="bottomLeft"/>
      <selection pane="bottomRight" sqref="A1:AZ1"/>
    </sheetView>
  </sheetViews>
  <sheetFormatPr baseColWidth="10" defaultColWidth="8.83203125" defaultRowHeight="15" x14ac:dyDescent="0.2"/>
  <cols>
    <col min="1" max="1" width="13" customWidth="1"/>
    <col min="2" max="52" width="11" customWidth="1"/>
  </cols>
  <sheetData>
    <row r="1" spans="1:52" ht="16" x14ac:dyDescent="0.2">
      <c r="A1" s="74" t="s">
        <v>398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</row>
    <row r="2" spans="1:52" ht="16" x14ac:dyDescent="0.2">
      <c r="A2" s="38" t="s">
        <v>395</v>
      </c>
      <c r="B2" s="38" t="s">
        <v>29</v>
      </c>
      <c r="C2" s="38" t="s">
        <v>38</v>
      </c>
      <c r="D2" s="38" t="s">
        <v>45</v>
      </c>
      <c r="E2" s="38" t="s">
        <v>55</v>
      </c>
      <c r="F2" s="38" t="s">
        <v>63</v>
      </c>
      <c r="G2" s="38" t="s">
        <v>70</v>
      </c>
      <c r="H2" s="38" t="s">
        <v>77</v>
      </c>
      <c r="I2" s="38" t="s">
        <v>83</v>
      </c>
      <c r="J2" s="38" t="s">
        <v>92</v>
      </c>
      <c r="K2" s="38" t="s">
        <v>99</v>
      </c>
      <c r="L2" s="38" t="s">
        <v>105</v>
      </c>
      <c r="M2" s="38" t="s">
        <v>112</v>
      </c>
      <c r="N2" s="38" t="s">
        <v>117</v>
      </c>
      <c r="O2" s="38" t="s">
        <v>128</v>
      </c>
      <c r="P2" s="38" t="s">
        <v>133</v>
      </c>
      <c r="Q2" s="38" t="s">
        <v>139</v>
      </c>
      <c r="R2" s="38" t="s">
        <v>145</v>
      </c>
      <c r="S2" s="38" t="s">
        <v>152</v>
      </c>
      <c r="T2" s="38" t="s">
        <v>158</v>
      </c>
      <c r="U2" s="38" t="s">
        <v>165</v>
      </c>
      <c r="V2" s="38" t="s">
        <v>172</v>
      </c>
      <c r="W2" s="38" t="s">
        <v>181</v>
      </c>
      <c r="X2" s="38" t="s">
        <v>189</v>
      </c>
      <c r="Y2" s="38" t="s">
        <v>194</v>
      </c>
      <c r="Z2" s="38" t="s">
        <v>201</v>
      </c>
      <c r="AA2" s="38" t="s">
        <v>207</v>
      </c>
      <c r="AB2" s="38" t="s">
        <v>214</v>
      </c>
      <c r="AC2" s="38" t="s">
        <v>221</v>
      </c>
      <c r="AD2" s="38" t="s">
        <v>228</v>
      </c>
      <c r="AE2" s="38" t="s">
        <v>236</v>
      </c>
      <c r="AF2" s="38" t="s">
        <v>242</v>
      </c>
      <c r="AG2" s="38" t="s">
        <v>249</v>
      </c>
      <c r="AH2" s="38" t="s">
        <v>255</v>
      </c>
      <c r="AI2" s="38" t="s">
        <v>264</v>
      </c>
      <c r="AJ2" s="38" t="s">
        <v>270</v>
      </c>
      <c r="AK2" s="38" t="s">
        <v>276</v>
      </c>
      <c r="AL2" s="38" t="s">
        <v>282</v>
      </c>
      <c r="AM2" s="38" t="s">
        <v>288</v>
      </c>
      <c r="AN2" s="38" t="s">
        <v>296</v>
      </c>
      <c r="AO2" s="38" t="s">
        <v>302</v>
      </c>
      <c r="AP2" s="38" t="s">
        <v>308</v>
      </c>
      <c r="AQ2" s="38" t="s">
        <v>315</v>
      </c>
      <c r="AR2" s="38" t="s">
        <v>322</v>
      </c>
      <c r="AS2" s="38" t="s">
        <v>327</v>
      </c>
      <c r="AT2" s="38" t="s">
        <v>332</v>
      </c>
      <c r="AU2" s="38" t="s">
        <v>337</v>
      </c>
      <c r="AV2" s="38" t="s">
        <v>343</v>
      </c>
      <c r="AW2" s="38" t="s">
        <v>348</v>
      </c>
      <c r="AX2" s="38" t="s">
        <v>355</v>
      </c>
      <c r="AY2" s="38" t="s">
        <v>361</v>
      </c>
      <c r="AZ2" s="38" t="s">
        <v>396</v>
      </c>
    </row>
    <row r="3" spans="1:52" ht="16" x14ac:dyDescent="0.2">
      <c r="A3" s="39">
        <v>40210</v>
      </c>
      <c r="B3" s="43">
        <v>6.5396012757727551E-2</v>
      </c>
      <c r="C3" s="43">
        <v>2.5311914073569142E-2</v>
      </c>
      <c r="D3" s="43">
        <v>7.2755490536420941E-2</v>
      </c>
      <c r="E3" s="43">
        <v>-0.1043083482187266</v>
      </c>
      <c r="F3" s="43">
        <v>-3.1976745890742619E-2</v>
      </c>
      <c r="G3" s="43">
        <v>-5.5896674360343963E-2</v>
      </c>
      <c r="H3" s="43">
        <v>9.2074474083142066E-2</v>
      </c>
      <c r="I3" s="43">
        <v>3.8534645209407969E-2</v>
      </c>
      <c r="J3" s="43">
        <v>6.4902503350040108E-2</v>
      </c>
      <c r="K3" s="43">
        <v>8.2776840820657061E-2</v>
      </c>
      <c r="L3" s="43">
        <v>1.2090985213051081E-2</v>
      </c>
      <c r="M3" s="43">
        <v>5.7191313735418532E-2</v>
      </c>
      <c r="N3" s="43">
        <v>-4.0091314492118217E-2</v>
      </c>
      <c r="O3" s="43">
        <v>0.14801925424726889</v>
      </c>
      <c r="P3" s="43">
        <v>4.0146208700147401E-2</v>
      </c>
      <c r="Q3" s="43">
        <v>-2.413277850490048E-2</v>
      </c>
      <c r="R3" s="43">
        <v>0.12886908542498571</v>
      </c>
      <c r="S3" s="43">
        <v>8.5265552392140176E-2</v>
      </c>
      <c r="T3" s="43">
        <v>4.9904821090802631E-3</v>
      </c>
      <c r="U3" s="43">
        <v>-5.9250581093738264E-3</v>
      </c>
      <c r="V3" s="43">
        <v>5.366180932810094E-2</v>
      </c>
      <c r="W3" s="43">
        <v>0.1138879221036657</v>
      </c>
      <c r="X3" s="43">
        <v>-1.8727019842854631E-3</v>
      </c>
      <c r="Y3" s="43">
        <v>9.8952972521362259E-3</v>
      </c>
      <c r="Z3" s="43">
        <v>7.7812355016097401E-2</v>
      </c>
      <c r="AA3" s="43">
        <v>-2.8203211245127702E-2</v>
      </c>
      <c r="AB3" s="43">
        <v>-8.3317925506066093E-2</v>
      </c>
      <c r="AC3" s="43">
        <v>3.1438399501765753E-2</v>
      </c>
      <c r="AD3" s="43">
        <v>1.1890630350948511E-2</v>
      </c>
      <c r="AE3" s="43">
        <v>5.2277476445491633E-2</v>
      </c>
      <c r="AF3" s="43">
        <v>2.2145557426806791E-2</v>
      </c>
      <c r="AG3" s="43">
        <v>3.8990732311475977E-2</v>
      </c>
      <c r="AH3" s="43">
        <v>-3.8745299245112608E-2</v>
      </c>
      <c r="AI3" s="43">
        <v>3.0209284551176999E-2</v>
      </c>
      <c r="AJ3" s="43">
        <v>5.2631636823519352E-2</v>
      </c>
      <c r="AK3" s="43">
        <v>0.1051188947389432</v>
      </c>
      <c r="AL3" s="43">
        <v>5.0723124113134073E-2</v>
      </c>
      <c r="AM3" s="43">
        <v>2.8107525807749001E-2</v>
      </c>
      <c r="AN3" s="43">
        <v>8.3528247425352253E-2</v>
      </c>
      <c r="AO3" s="43">
        <v>0.14285719593734719</v>
      </c>
      <c r="AP3" s="43">
        <v>1.4166234997346819E-2</v>
      </c>
      <c r="AQ3" s="43">
        <v>4.325688848657161E-2</v>
      </c>
      <c r="AR3" s="43">
        <v>-5.990042351002911E-2</v>
      </c>
      <c r="AS3" s="43">
        <v>-8.2520789926950888E-2</v>
      </c>
      <c r="AT3" s="43">
        <v>6.1212561761589956E-3</v>
      </c>
      <c r="AU3" s="43">
        <v>9.8727312399877309E-2</v>
      </c>
      <c r="AV3" s="43">
        <v>8.3555606176475283E-2</v>
      </c>
      <c r="AW3" s="43">
        <v>2.6060565693607481E-2</v>
      </c>
      <c r="AX3" s="43">
        <v>0.11810100334019299</v>
      </c>
      <c r="AY3" s="43">
        <v>1.197799489519924E-2</v>
      </c>
      <c r="AZ3" s="43">
        <v>2.851368904654605E-2</v>
      </c>
    </row>
    <row r="4" spans="1:52" ht="16" x14ac:dyDescent="0.2">
      <c r="A4" s="41">
        <v>40238</v>
      </c>
      <c r="B4" s="44">
        <v>0.14847059910647589</v>
      </c>
      <c r="C4" s="44">
        <v>-2.9476780989995181E-2</v>
      </c>
      <c r="D4" s="44">
        <v>2.077914500142564E-2</v>
      </c>
      <c r="E4" s="44">
        <v>-0.2354430520330133</v>
      </c>
      <c r="F4" s="44">
        <v>5.7056913341933413E-2</v>
      </c>
      <c r="G4" s="44">
        <v>0.14670603795043791</v>
      </c>
      <c r="H4" s="44">
        <v>0.1016652867689634</v>
      </c>
      <c r="I4" s="44">
        <v>0.14537717544857709</v>
      </c>
      <c r="J4" s="44">
        <v>-2.066569287700459E-2</v>
      </c>
      <c r="K4" s="44">
        <v>6.9873378378618067E-2</v>
      </c>
      <c r="L4" s="44">
        <v>4.8824080176472107E-2</v>
      </c>
      <c r="M4" s="44">
        <v>0.1174773945267691</v>
      </c>
      <c r="N4" s="44">
        <v>4.6753725629486757E-2</v>
      </c>
      <c r="O4" s="44">
        <v>6.3372167359956988E-2</v>
      </c>
      <c r="P4" s="44">
        <v>-1.1802592673846309E-2</v>
      </c>
      <c r="Q4" s="44">
        <v>-6.182374520887346E-2</v>
      </c>
      <c r="R4" s="44">
        <v>0.1044803209814846</v>
      </c>
      <c r="S4" s="44">
        <v>6.4094192022366547E-2</v>
      </c>
      <c r="T4" s="44">
        <v>0.13325102533089381</v>
      </c>
      <c r="U4" s="44">
        <v>7.6537530957728306E-2</v>
      </c>
      <c r="V4" s="44">
        <v>9.1333318803880514E-2</v>
      </c>
      <c r="W4" s="44">
        <v>4.4571908008474333E-2</v>
      </c>
      <c r="X4" s="44">
        <v>0.30675426872145017</v>
      </c>
      <c r="Y4" s="44">
        <v>3.4920691994433373E-2</v>
      </c>
      <c r="Z4" s="44">
        <v>6.6237254989577998E-2</v>
      </c>
      <c r="AA4" s="44">
        <v>5.1785731527454359E-2</v>
      </c>
      <c r="AB4" s="44">
        <v>0.12496610679761271</v>
      </c>
      <c r="AC4" s="44">
        <v>4.4948776667842472E-2</v>
      </c>
      <c r="AD4" s="44">
        <v>3.7558086244733342E-2</v>
      </c>
      <c r="AE4" s="44">
        <v>3.9390021585488773E-2</v>
      </c>
      <c r="AF4" s="44">
        <v>2.1625720919781211E-2</v>
      </c>
      <c r="AG4" s="44">
        <v>0.1445917258588123</v>
      </c>
      <c r="AH4" s="44">
        <v>4.2268336441071641E-2</v>
      </c>
      <c r="AI4" s="44">
        <v>8.4305705586422475E-2</v>
      </c>
      <c r="AJ4" s="44">
        <v>7.4073862760178688E-2</v>
      </c>
      <c r="AK4" s="44">
        <v>5.0289267980181178E-2</v>
      </c>
      <c r="AL4" s="44">
        <v>2.977686693672044E-2</v>
      </c>
      <c r="AM4" s="44">
        <v>-1.5828038581866541E-4</v>
      </c>
      <c r="AN4" s="44">
        <v>7.3453655873283452E-2</v>
      </c>
      <c r="AO4" s="44">
        <v>0.1590908622938749</v>
      </c>
      <c r="AP4" s="44">
        <v>0.13054454654338829</v>
      </c>
      <c r="AQ4" s="44">
        <v>7.012168867292834E-2</v>
      </c>
      <c r="AR4" s="44">
        <v>0.14394794869117519</v>
      </c>
      <c r="AS4" s="44">
        <v>8.2992809384174304E-2</v>
      </c>
      <c r="AT4" s="44">
        <v>6.7844878157568456E-2</v>
      </c>
      <c r="AU4" s="44">
        <v>2.1378559653391749E-2</v>
      </c>
      <c r="AV4" s="44">
        <v>3.6914902134785881E-3</v>
      </c>
      <c r="AW4" s="44">
        <v>-3.5144888531492668E-2</v>
      </c>
      <c r="AX4" s="44">
        <v>8.8021476122399855E-2</v>
      </c>
      <c r="AY4" s="44">
        <v>3.4092376799183199E-2</v>
      </c>
      <c r="AZ4" s="44">
        <v>5.8796425545497362E-2</v>
      </c>
    </row>
    <row r="5" spans="1:52" ht="16" x14ac:dyDescent="0.2">
      <c r="A5" s="39">
        <v>40269</v>
      </c>
      <c r="B5" s="43">
        <v>0.1110208978909442</v>
      </c>
      <c r="C5" s="43">
        <v>-2.0672800715314191E-2</v>
      </c>
      <c r="D5" s="43">
        <v>-5.0042423274377912E-2</v>
      </c>
      <c r="E5" s="43">
        <v>-0.19867546636490141</v>
      </c>
      <c r="F5" s="43">
        <v>-4.2279560304034569E-2</v>
      </c>
      <c r="G5" s="43">
        <v>9.7960062700734873E-3</v>
      </c>
      <c r="H5" s="43">
        <v>9.0131444740669364E-2</v>
      </c>
      <c r="I5" s="43">
        <v>5.5235457103091079E-2</v>
      </c>
      <c r="J5" s="43">
        <v>-1.055133856175261E-2</v>
      </c>
      <c r="K5" s="43">
        <v>3.4574918838339519E-2</v>
      </c>
      <c r="L5" s="43">
        <v>7.398146680519635E-2</v>
      </c>
      <c r="M5" s="43">
        <v>5.5285378102331473E-2</v>
      </c>
      <c r="N5" s="43">
        <v>0.11126210832691449</v>
      </c>
      <c r="O5" s="43">
        <v>3.7543985679628911E-2</v>
      </c>
      <c r="P5" s="43">
        <v>0.2081137046187769</v>
      </c>
      <c r="Q5" s="43">
        <v>-4.4481049965541253E-2</v>
      </c>
      <c r="R5" s="43">
        <v>0.1103358610937715</v>
      </c>
      <c r="S5" s="43">
        <v>-5.4850522267244628E-3</v>
      </c>
      <c r="T5" s="43">
        <v>3.6263259025359977E-2</v>
      </c>
      <c r="U5" s="43">
        <v>-7.3035667502729384E-2</v>
      </c>
      <c r="V5" s="43">
        <v>-0.14903556074581681</v>
      </c>
      <c r="W5" s="43">
        <v>8.9026773480412214E-2</v>
      </c>
      <c r="X5" s="43">
        <v>-3.5175930657404098E-2</v>
      </c>
      <c r="Y5" s="43">
        <v>-1.38036384097795E-2</v>
      </c>
      <c r="Z5" s="43">
        <v>-4.7426970144504373E-2</v>
      </c>
      <c r="AA5" s="43">
        <v>-2.8181633649139951E-2</v>
      </c>
      <c r="AB5" s="43">
        <v>-8.1623048335422888E-2</v>
      </c>
      <c r="AC5" s="43">
        <v>5.8003706996093918E-2</v>
      </c>
      <c r="AD5" s="43">
        <v>-2.536129385042751E-2</v>
      </c>
      <c r="AE5" s="43">
        <v>3.3477998096254069E-2</v>
      </c>
      <c r="AF5" s="43">
        <v>4.2676551658587643E-2</v>
      </c>
      <c r="AG5" s="43">
        <v>-9.8360513500363678E-2</v>
      </c>
      <c r="AH5" s="43">
        <v>7.6970404563226236E-2</v>
      </c>
      <c r="AI5" s="43">
        <v>6.5457517214049465E-2</v>
      </c>
      <c r="AJ5" s="43">
        <v>-9.7126539805248768E-2</v>
      </c>
      <c r="AK5" s="43">
        <v>3.1658494066572729E-2</v>
      </c>
      <c r="AL5" s="43">
        <v>8.6297730120771465E-2</v>
      </c>
      <c r="AM5" s="43">
        <v>-9.9823946044520495E-3</v>
      </c>
      <c r="AN5" s="43">
        <v>6.8582148236427942E-2</v>
      </c>
      <c r="AO5" s="43">
        <v>6.8627433564194096E-2</v>
      </c>
      <c r="AP5" s="43">
        <v>2.2760526028047231E-2</v>
      </c>
      <c r="AQ5" s="43">
        <v>6.0399124422557682E-2</v>
      </c>
      <c r="AR5" s="43">
        <v>-7.8169257689512106E-2</v>
      </c>
      <c r="AS5" s="43">
        <v>-3.6240000220953417E-2</v>
      </c>
      <c r="AT5" s="43">
        <v>0.15351640785859619</v>
      </c>
      <c r="AU5" s="43">
        <v>8.9839925855655034E-2</v>
      </c>
      <c r="AV5" s="43">
        <v>6.7761921754846632E-2</v>
      </c>
      <c r="AW5" s="43">
        <v>-7.1384524645491609E-2</v>
      </c>
      <c r="AX5" s="43">
        <v>3.2196446289905589E-2</v>
      </c>
      <c r="AY5" s="43">
        <v>-3.5252017543771497E-2</v>
      </c>
      <c r="AZ5" s="43">
        <v>1.4759230482013001E-2</v>
      </c>
    </row>
    <row r="6" spans="1:52" ht="16" x14ac:dyDescent="0.2">
      <c r="A6" s="41">
        <v>40299</v>
      </c>
      <c r="B6" s="44">
        <v>-1.6124501873922451E-2</v>
      </c>
      <c r="C6" s="44">
        <v>-7.0367235745436463E-2</v>
      </c>
      <c r="D6" s="44">
        <v>-4.5237997383753337E-2</v>
      </c>
      <c r="E6" s="44">
        <v>0.27685942841019351</v>
      </c>
      <c r="F6" s="44">
        <v>-9.6492571817466288E-2</v>
      </c>
      <c r="G6" s="44">
        <v>-8.4901568776855951E-2</v>
      </c>
      <c r="H6" s="44">
        <v>-0.10765186287766471</v>
      </c>
      <c r="I6" s="44">
        <v>-8.4977055731673801E-2</v>
      </c>
      <c r="J6" s="44">
        <v>-1.066121449583346E-2</v>
      </c>
      <c r="K6" s="44">
        <v>-0.13999287944410621</v>
      </c>
      <c r="L6" s="44">
        <v>-8.4482495894576903E-2</v>
      </c>
      <c r="M6" s="44">
        <v>-9.2833919355200578E-2</v>
      </c>
      <c r="N6" s="44">
        <v>-3.2964049939549267E-2</v>
      </c>
      <c r="O6" s="44">
        <v>-0.1048461890937562</v>
      </c>
      <c r="P6" s="44">
        <v>-6.4930279175202554E-2</v>
      </c>
      <c r="Q6" s="44">
        <v>-0.10689661069091889</v>
      </c>
      <c r="R6" s="44">
        <v>2.776562205765765E-2</v>
      </c>
      <c r="S6" s="44">
        <v>-0.1107911661286376</v>
      </c>
      <c r="T6" s="44">
        <v>-0.13308579910944371</v>
      </c>
      <c r="U6" s="44">
        <v>-7.622215118748521E-2</v>
      </c>
      <c r="V6" s="44">
        <v>-3.9893082845149364E-3</v>
      </c>
      <c r="W6" s="44">
        <v>-3.8887337017662449E-2</v>
      </c>
      <c r="X6" s="44">
        <v>-4.092256355895374E-2</v>
      </c>
      <c r="Y6" s="44">
        <v>-8.5030876577742109E-2</v>
      </c>
      <c r="Z6" s="44">
        <v>-7.0455623360218156E-2</v>
      </c>
      <c r="AA6" s="44">
        <v>-3.8353649685699993E-2</v>
      </c>
      <c r="AB6" s="44">
        <v>-9.9544973136240889E-2</v>
      </c>
      <c r="AC6" s="44">
        <v>-4.4739430859380591E-2</v>
      </c>
      <c r="AD6" s="44">
        <v>-0.1032271522119569</v>
      </c>
      <c r="AE6" s="44">
        <v>-0.1029119909353186</v>
      </c>
      <c r="AF6" s="44">
        <v>-0.15139427757311241</v>
      </c>
      <c r="AG6" s="44">
        <v>-2.7807439981498702E-2</v>
      </c>
      <c r="AH6" s="44">
        <v>-4.0729463350483767E-2</v>
      </c>
      <c r="AI6" s="44">
        <v>8.6819040591803898E-2</v>
      </c>
      <c r="AJ6" s="44">
        <v>-0.16359000429656309</v>
      </c>
      <c r="AK6" s="44">
        <v>-0.29358782908871411</v>
      </c>
      <c r="AL6" s="44">
        <v>-9.5034727985574996E-2</v>
      </c>
      <c r="AM6" s="44">
        <v>-1.7213520126513119E-2</v>
      </c>
      <c r="AN6" s="44">
        <v>-0.1080934730266437</v>
      </c>
      <c r="AO6" s="44">
        <v>-7.1559611033854775E-2</v>
      </c>
      <c r="AP6" s="44">
        <v>-6.9274961443757666E-2</v>
      </c>
      <c r="AQ6" s="44">
        <v>-5.9645278488666742E-2</v>
      </c>
      <c r="AR6" s="44">
        <v>-7.5730376483492678E-2</v>
      </c>
      <c r="AS6" s="44">
        <v>0.1190753897603187</v>
      </c>
      <c r="AT6" s="44">
        <v>-1.389849056920622E-2</v>
      </c>
      <c r="AU6" s="44">
        <v>-1.5763625108985879E-2</v>
      </c>
      <c r="AV6" s="44">
        <v>-6.1130384262765847E-2</v>
      </c>
      <c r="AW6" s="44">
        <v>-4.0910820297612498E-2</v>
      </c>
      <c r="AX6" s="44">
        <v>-5.1342760257221842E-2</v>
      </c>
      <c r="AY6" s="44">
        <v>-5.1943896428757519E-2</v>
      </c>
      <c r="AZ6" s="44">
        <v>-8.197584207319053E-2</v>
      </c>
    </row>
    <row r="7" spans="1:52" ht="16" x14ac:dyDescent="0.2">
      <c r="A7" s="39">
        <v>40330</v>
      </c>
      <c r="B7" s="43">
        <v>-2.0826784454529349E-2</v>
      </c>
      <c r="C7" s="43">
        <v>-1.640013976695831E-2</v>
      </c>
      <c r="D7" s="43">
        <v>-0.1761222320258562</v>
      </c>
      <c r="E7" s="43">
        <v>-3.236242958260771E-2</v>
      </c>
      <c r="F7" s="43">
        <v>1.5835999250283232E-2</v>
      </c>
      <c r="G7" s="43">
        <v>-0.12912481640666509</v>
      </c>
      <c r="H7" s="43">
        <v>-1.13560154464778E-2</v>
      </c>
      <c r="I7" s="43">
        <v>-3.9800878234918957E-2</v>
      </c>
      <c r="J7" s="43">
        <v>-5.8712998995064318E-2</v>
      </c>
      <c r="K7" s="43">
        <v>-7.9878754412691877E-2</v>
      </c>
      <c r="L7" s="43">
        <v>-8.1359215624258741E-2</v>
      </c>
      <c r="M7" s="43">
        <v>-5.745076449573816E-2</v>
      </c>
      <c r="N7" s="43">
        <v>-4.5939242808645482E-2</v>
      </c>
      <c r="O7" s="43">
        <v>-5.9215607460104243E-2</v>
      </c>
      <c r="P7" s="43">
        <v>-6.1712693303599409E-2</v>
      </c>
      <c r="Q7" s="43">
        <v>-0.33011580239315191</v>
      </c>
      <c r="R7" s="43">
        <v>-2.502491241871874E-2</v>
      </c>
      <c r="S7" s="43">
        <v>-0.13141642060926931</v>
      </c>
      <c r="T7" s="43">
        <v>-0.112443054639535</v>
      </c>
      <c r="U7" s="43">
        <v>-8.3767371391790912E-2</v>
      </c>
      <c r="V7" s="43">
        <v>-9.0046176092938301E-2</v>
      </c>
      <c r="W7" s="43">
        <v>-0.16517985808983979</v>
      </c>
      <c r="X7" s="43">
        <v>-0.14119477114221551</v>
      </c>
      <c r="Y7" s="43">
        <v>1.3036056871371439E-2</v>
      </c>
      <c r="Z7" s="43">
        <v>-7.5037928156631128E-2</v>
      </c>
      <c r="AA7" s="43">
        <v>-1.665366093539988E-2</v>
      </c>
      <c r="AB7" s="43">
        <v>-7.2578008458834109E-2</v>
      </c>
      <c r="AC7" s="43">
        <v>-1.495439827483847E-2</v>
      </c>
      <c r="AD7" s="43">
        <v>-7.4272898611210225E-2</v>
      </c>
      <c r="AE7" s="43">
        <v>-0.1438585224294717</v>
      </c>
      <c r="AF7" s="43">
        <v>-0.1081393614582523</v>
      </c>
      <c r="AG7" s="43">
        <v>-6.6006776425304392E-2</v>
      </c>
      <c r="AH7" s="43">
        <v>-1.335304107370228E-2</v>
      </c>
      <c r="AI7" s="43">
        <v>-9.8192679254032189E-3</v>
      </c>
      <c r="AJ7" s="43">
        <v>-0.22298331935750279</v>
      </c>
      <c r="AK7" s="43">
        <v>-2.9608547669530472E-2</v>
      </c>
      <c r="AL7" s="43">
        <v>-2.7433843264519812E-2</v>
      </c>
      <c r="AM7" s="43">
        <v>-1.8170227255921208E-2</v>
      </c>
      <c r="AN7" s="43">
        <v>-9.7624576945094632E-2</v>
      </c>
      <c r="AO7" s="43">
        <v>-0.1067193612568297</v>
      </c>
      <c r="AP7" s="43">
        <v>-8.5615111125063814E-2</v>
      </c>
      <c r="AQ7" s="43">
        <v>0</v>
      </c>
      <c r="AR7" s="43">
        <v>-7.6490678982634508E-2</v>
      </c>
      <c r="AS7" s="43">
        <v>-0.21876096149324509</v>
      </c>
      <c r="AT7" s="43">
        <v>-9.708992503290681E-2</v>
      </c>
      <c r="AU7" s="43">
        <v>-7.7211108983877175E-2</v>
      </c>
      <c r="AV7" s="43">
        <v>-4.6682964399728848E-2</v>
      </c>
      <c r="AW7" s="43">
        <v>-1.8947744219036781E-2</v>
      </c>
      <c r="AX7" s="43">
        <v>-2.687923428958694E-2</v>
      </c>
      <c r="AY7" s="43">
        <v>-4.9248211993585311E-2</v>
      </c>
      <c r="AZ7" s="43">
        <v>-5.3882442239838513E-2</v>
      </c>
    </row>
    <row r="8" spans="1:52" ht="16" x14ac:dyDescent="0.2">
      <c r="A8" s="41">
        <v>40360</v>
      </c>
      <c r="B8" s="44">
        <v>2.274112612029322E-2</v>
      </c>
      <c r="C8" s="44">
        <v>5.890886579040755E-2</v>
      </c>
      <c r="D8" s="44">
        <v>8.6643926664286219E-2</v>
      </c>
      <c r="E8" s="44">
        <v>-0.11705682391847071</v>
      </c>
      <c r="F8" s="44">
        <v>3.6692181486092323E-2</v>
      </c>
      <c r="G8" s="44">
        <v>7.8985900091483208E-2</v>
      </c>
      <c r="H8" s="44">
        <v>0.16887823913251651</v>
      </c>
      <c r="I8" s="44">
        <v>0.12693285834699461</v>
      </c>
      <c r="J8" s="44">
        <v>3.4287948722990791E-2</v>
      </c>
      <c r="K8" s="44">
        <v>8.259019963925307E-2</v>
      </c>
      <c r="L8" s="44">
        <v>0.12304775758410399</v>
      </c>
      <c r="M8" s="44">
        <v>6.9524026872911815E-2</v>
      </c>
      <c r="N8" s="44">
        <v>8.9066706398784223E-2</v>
      </c>
      <c r="O8" s="44">
        <v>0.133897757282786</v>
      </c>
      <c r="P8" s="44">
        <v>-7.4036900105337589E-3</v>
      </c>
      <c r="Q8" s="44">
        <v>-0.1008645937076047</v>
      </c>
      <c r="R8" s="44">
        <v>0.28088088408850093</v>
      </c>
      <c r="S8" s="44">
        <v>4.5935139879311533E-2</v>
      </c>
      <c r="T8" s="44">
        <v>0.1178918405872964</v>
      </c>
      <c r="U8" s="44">
        <v>8.9672764832000595E-2</v>
      </c>
      <c r="V8" s="44">
        <v>0.1489302622724786</v>
      </c>
      <c r="W8" s="44">
        <v>1.5675074756583699E-2</v>
      </c>
      <c r="X8" s="44">
        <v>0.1761518352932907</v>
      </c>
      <c r="Y8" s="44">
        <v>-1.6423709541702469E-2</v>
      </c>
      <c r="Z8" s="44">
        <v>0.10175045630964361</v>
      </c>
      <c r="AA8" s="44">
        <v>9.9561693298479526E-2</v>
      </c>
      <c r="AB8" s="44">
        <v>9.7506744322281902E-2</v>
      </c>
      <c r="AC8" s="44">
        <v>5.860033128147335E-2</v>
      </c>
      <c r="AD8" s="44">
        <v>2.5675117958987581E-2</v>
      </c>
      <c r="AE8" s="44">
        <v>0.16501861843569371</v>
      </c>
      <c r="AF8" s="44">
        <v>0.12168574530796381</v>
      </c>
      <c r="AG8" s="44">
        <v>-0.1425205484438499</v>
      </c>
      <c r="AH8" s="44">
        <v>7.2600421286332706E-2</v>
      </c>
      <c r="AI8" s="44">
        <v>0.13374341958118061</v>
      </c>
      <c r="AJ8" s="44">
        <v>-9.990159262355236E-2</v>
      </c>
      <c r="AK8" s="44">
        <v>0.1020042277023494</v>
      </c>
      <c r="AL8" s="44">
        <v>8.626781601322242E-2</v>
      </c>
      <c r="AM8" s="44">
        <v>2.7653342706771999E-2</v>
      </c>
      <c r="AN8" s="44">
        <v>0.1200864042411918</v>
      </c>
      <c r="AO8" s="44">
        <v>0</v>
      </c>
      <c r="AP8" s="44">
        <v>6.5300664814242015E-2</v>
      </c>
      <c r="AQ8" s="44">
        <v>2.3428493045484E-2</v>
      </c>
      <c r="AR8" s="44">
        <v>0.1595616083126998</v>
      </c>
      <c r="AS8" s="44">
        <v>8.3781531669471665E-2</v>
      </c>
      <c r="AT8" s="44">
        <v>-5.7811355407610954E-4</v>
      </c>
      <c r="AU8" s="44">
        <v>-1.025016923113309E-2</v>
      </c>
      <c r="AV8" s="44">
        <v>6.5566017030233459E-2</v>
      </c>
      <c r="AW8" s="44">
        <v>7.2182966238426349E-2</v>
      </c>
      <c r="AX8" s="44">
        <v>7.423371882555152E-2</v>
      </c>
      <c r="AY8" s="44">
        <v>6.4905410476006509E-2</v>
      </c>
      <c r="AZ8" s="44">
        <v>6.8777849574635175E-2</v>
      </c>
    </row>
    <row r="9" spans="1:52" ht="16" x14ac:dyDescent="0.2">
      <c r="A9" s="39">
        <v>40391</v>
      </c>
      <c r="B9" s="43">
        <v>-5.5005189320813441E-2</v>
      </c>
      <c r="C9" s="43">
        <v>5.2979223493603289E-3</v>
      </c>
      <c r="D9" s="43">
        <v>-3.5515270710356539E-2</v>
      </c>
      <c r="E9" s="43">
        <v>-1.136371538494263E-2</v>
      </c>
      <c r="F9" s="43">
        <v>-6.4001582296890125E-2</v>
      </c>
      <c r="G9" s="43">
        <v>5.886845959709941E-2</v>
      </c>
      <c r="H9" s="43">
        <v>-6.5806569569598183E-2</v>
      </c>
      <c r="I9" s="43">
        <v>-0.12172552830494179</v>
      </c>
      <c r="J9" s="43">
        <v>-7.8790817284901671E-5</v>
      </c>
      <c r="K9" s="43">
        <v>-0.13350621303764679</v>
      </c>
      <c r="L9" s="43">
        <v>-1.8858796141060119E-2</v>
      </c>
      <c r="M9" s="43">
        <v>-3.4134927046078463E-2</v>
      </c>
      <c r="N9" s="43">
        <v>-3.0872942567000568E-2</v>
      </c>
      <c r="O9" s="43">
        <v>-5.2079928357930738E-2</v>
      </c>
      <c r="P9" s="43">
        <v>-0.1090252808284192</v>
      </c>
      <c r="Q9" s="43">
        <v>-4.8076878990645722E-2</v>
      </c>
      <c r="R9" s="43">
        <v>-4.5542698114515723E-3</v>
      </c>
      <c r="S9" s="43">
        <v>-8.7836710808366747E-2</v>
      </c>
      <c r="T9" s="43">
        <v>-0.1017368344412977</v>
      </c>
      <c r="U9" s="43">
        <v>-7.1836614086227657E-2</v>
      </c>
      <c r="V9" s="43">
        <v>-8.9816889848779891E-2</v>
      </c>
      <c r="W9" s="43">
        <v>-1.5904829018325909E-2</v>
      </c>
      <c r="X9" s="43">
        <v>-3.9170523114515632E-2</v>
      </c>
      <c r="Y9" s="43">
        <v>-9.1629403062686299E-3</v>
      </c>
      <c r="Z9" s="43">
        <v>-9.7318504315304644E-2</v>
      </c>
      <c r="AA9" s="43">
        <v>1.3971628572399201E-2</v>
      </c>
      <c r="AB9" s="43">
        <v>6.2627178347537837E-2</v>
      </c>
      <c r="AC9" s="43">
        <v>5.5602552649716357E-2</v>
      </c>
      <c r="AD9" s="43">
        <v>-0.14931045235271001</v>
      </c>
      <c r="AE9" s="43">
        <v>-8.5216986889033786E-2</v>
      </c>
      <c r="AF9" s="43">
        <v>-8.5811471919118532E-2</v>
      </c>
      <c r="AG9" s="43">
        <v>-0.1126375634081335</v>
      </c>
      <c r="AH9" s="43">
        <v>3.6892027549604078E-2</v>
      </c>
      <c r="AI9" s="43">
        <v>-4.538959700337386E-2</v>
      </c>
      <c r="AJ9" s="43">
        <v>1.5233825476964171E-2</v>
      </c>
      <c r="AK9" s="43">
        <v>1.071155404268076E-2</v>
      </c>
      <c r="AL9" s="43">
        <v>-7.7799006794287084E-2</v>
      </c>
      <c r="AM9" s="43">
        <v>-2.436207171327387E-2</v>
      </c>
      <c r="AN9" s="43">
        <v>-4.3729604074077222E-2</v>
      </c>
      <c r="AO9" s="43">
        <v>-4.6460185626798767E-2</v>
      </c>
      <c r="AP9" s="43">
        <v>-4.6874675022726908E-2</v>
      </c>
      <c r="AQ9" s="43">
        <v>8.375282932049144E-3</v>
      </c>
      <c r="AR9" s="43">
        <v>1.082578387966238E-2</v>
      </c>
      <c r="AS9" s="43">
        <v>-9.1360171729227169E-2</v>
      </c>
      <c r="AT9" s="43">
        <v>2.3073242422479101E-2</v>
      </c>
      <c r="AU9" s="43">
        <v>-4.0727247070658668E-2</v>
      </c>
      <c r="AV9" s="43">
        <v>-6.7638764876448709E-2</v>
      </c>
      <c r="AW9" s="43">
        <v>4.170807673931809E-2</v>
      </c>
      <c r="AX9" s="43">
        <v>-1.8696625706565939E-2</v>
      </c>
      <c r="AY9" s="43">
        <v>-1.479564200074834E-2</v>
      </c>
      <c r="AZ9" s="43">
        <v>-4.7449183632604752E-2</v>
      </c>
    </row>
    <row r="10" spans="1:52" ht="16" x14ac:dyDescent="0.2">
      <c r="A10" s="41">
        <v>40422</v>
      </c>
      <c r="B10" s="44">
        <v>0.16721533416690401</v>
      </c>
      <c r="C10" s="44">
        <v>5.8776024164522767E-2</v>
      </c>
      <c r="D10" s="44">
        <v>-5.5956718473559208E-2</v>
      </c>
      <c r="E10" s="44">
        <v>-0.2394635654833096</v>
      </c>
      <c r="F10" s="44">
        <v>7.974165588833082E-2</v>
      </c>
      <c r="G10" s="44">
        <v>0.25819118622479592</v>
      </c>
      <c r="H10" s="44">
        <v>0.2074890742520534</v>
      </c>
      <c r="I10" s="44">
        <v>5.7309507366878787E-2</v>
      </c>
      <c r="J10" s="44">
        <v>0.14141653971327539</v>
      </c>
      <c r="K10" s="44">
        <v>9.5547542028727506E-2</v>
      </c>
      <c r="L10" s="44">
        <v>9.4087538142316518E-2</v>
      </c>
      <c r="M10" s="44">
        <v>1.7209544217175798E-2</v>
      </c>
      <c r="N10" s="44">
        <v>7.3782715846529845E-2</v>
      </c>
      <c r="O10" s="44">
        <v>0.12883187254233319</v>
      </c>
      <c r="P10" s="44">
        <v>7.0219512669300377E-2</v>
      </c>
      <c r="Q10" s="44">
        <v>0.31986533283915669</v>
      </c>
      <c r="R10" s="44">
        <v>0.18734984783533479</v>
      </c>
      <c r="S10" s="44">
        <v>0.1242168954993179</v>
      </c>
      <c r="T10" s="44">
        <v>0.13053967791853749</v>
      </c>
      <c r="U10" s="44">
        <v>0.16837037784901621</v>
      </c>
      <c r="V10" s="44">
        <v>5.586766066068094E-2</v>
      </c>
      <c r="W10" s="44">
        <v>0.13874943072016041</v>
      </c>
      <c r="X10" s="44">
        <v>0.27817741635224391</v>
      </c>
      <c r="Y10" s="44">
        <v>8.6636397819218613E-2</v>
      </c>
      <c r="Z10" s="44">
        <v>4.6754868010593809E-2</v>
      </c>
      <c r="AA10" s="44">
        <v>5.5177662528288263E-2</v>
      </c>
      <c r="AB10" s="44">
        <v>0.17493935478300029</v>
      </c>
      <c r="AC10" s="44">
        <v>1.9846508857055412E-2</v>
      </c>
      <c r="AD10" s="44">
        <v>6.7726994299951437E-2</v>
      </c>
      <c r="AE10" s="44">
        <v>-4.0482235520478138E-4</v>
      </c>
      <c r="AF10" s="44">
        <v>4.3459976458738891E-2</v>
      </c>
      <c r="AG10" s="44">
        <v>0.1160993819587173</v>
      </c>
      <c r="AH10" s="44">
        <v>1.228366336305808E-2</v>
      </c>
      <c r="AI10" s="44">
        <v>0.2330363623913336</v>
      </c>
      <c r="AJ10" s="44">
        <v>0.25187526235952751</v>
      </c>
      <c r="AK10" s="44">
        <v>7.6984694511077034E-2</v>
      </c>
      <c r="AL10" s="44">
        <v>4.9638610238854852E-2</v>
      </c>
      <c r="AM10" s="44">
        <v>5.0274415832716191E-3</v>
      </c>
      <c r="AN10" s="44">
        <v>0.1842455800334237</v>
      </c>
      <c r="AO10" s="44">
        <v>0.22737819769934359</v>
      </c>
      <c r="AP10" s="44">
        <v>0.1126525754482057</v>
      </c>
      <c r="AQ10" s="44">
        <v>0.1877076116560279</v>
      </c>
      <c r="AR10" s="44">
        <v>0.17832949921819849</v>
      </c>
      <c r="AS10" s="44">
        <v>0.24658782901614809</v>
      </c>
      <c r="AT10" s="44">
        <v>6.7632875304630247E-2</v>
      </c>
      <c r="AU10" s="44">
        <v>0.124464692385633</v>
      </c>
      <c r="AV10" s="44">
        <v>0.17897466203141921</v>
      </c>
      <c r="AW10" s="44">
        <v>0.11095467193110629</v>
      </c>
      <c r="AX10" s="44">
        <v>0.1214701751168106</v>
      </c>
      <c r="AY10" s="44">
        <v>6.7411811792520648E-2</v>
      </c>
      <c r="AZ10" s="44">
        <v>8.7551103051135559E-2</v>
      </c>
    </row>
    <row r="11" spans="1:52" ht="16" x14ac:dyDescent="0.2">
      <c r="A11" s="39">
        <v>40452</v>
      </c>
      <c r="B11" s="43">
        <v>6.0721979495268918E-2</v>
      </c>
      <c r="C11" s="43">
        <v>-9.4658080872448425E-3</v>
      </c>
      <c r="D11" s="43">
        <v>7.6481836679751725E-2</v>
      </c>
      <c r="E11" s="43">
        <v>-0.23425694207935949</v>
      </c>
      <c r="F11" s="43">
        <v>3.7742846715305811E-2</v>
      </c>
      <c r="G11" s="43">
        <v>5.2018360628662393E-2</v>
      </c>
      <c r="H11" s="43">
        <v>4.4855463511208624E-3</v>
      </c>
      <c r="I11" s="43">
        <v>0.14715529527966531</v>
      </c>
      <c r="J11" s="43">
        <v>-2.3527227779184371E-2</v>
      </c>
      <c r="K11" s="43">
        <v>4.3835787815337923E-2</v>
      </c>
      <c r="L11" s="43">
        <v>1.9124173659488038E-2</v>
      </c>
      <c r="M11" s="43">
        <v>9.154096368705944E-2</v>
      </c>
      <c r="N11" s="43">
        <v>-2.7985616782551629E-2</v>
      </c>
      <c r="O11" s="43">
        <v>4.2536954316480191E-2</v>
      </c>
      <c r="P11" s="43">
        <v>3.119551018684508E-2</v>
      </c>
      <c r="Q11" s="43">
        <v>0.14030604673295999</v>
      </c>
      <c r="R11" s="43">
        <v>0.13380213578955599</v>
      </c>
      <c r="S11" s="43">
        <v>9.1772455469968151E-2</v>
      </c>
      <c r="T11" s="43">
        <v>-1.415387316602101E-2</v>
      </c>
      <c r="U11" s="43">
        <v>0.16719611654804531</v>
      </c>
      <c r="V11" s="43">
        <v>0.1144695032381378</v>
      </c>
      <c r="W11" s="43">
        <v>-2.4621309533790939E-2</v>
      </c>
      <c r="X11" s="43">
        <v>4.190119361378164E-2</v>
      </c>
      <c r="Y11" s="43">
        <v>2.872819925146608E-2</v>
      </c>
      <c r="Z11" s="43">
        <v>-1.002311105862708E-2</v>
      </c>
      <c r="AA11" s="43">
        <v>4.7846757724288702E-2</v>
      </c>
      <c r="AB11" s="43">
        <v>0.33079390983517221</v>
      </c>
      <c r="AC11" s="43">
        <v>4.3752845483830287E-2</v>
      </c>
      <c r="AD11" s="43">
        <v>5.6149913862884482E-2</v>
      </c>
      <c r="AE11" s="43">
        <v>9.7855119188152706E-3</v>
      </c>
      <c r="AF11" s="43">
        <v>8.9015708088893142E-2</v>
      </c>
      <c r="AG11" s="43">
        <v>0.1456308203788117</v>
      </c>
      <c r="AH11" s="43">
        <v>1.1951087664632711E-2</v>
      </c>
      <c r="AI11" s="43">
        <v>6.9491270278118744E-2</v>
      </c>
      <c r="AJ11" s="43">
        <v>2.9109563276302101E-2</v>
      </c>
      <c r="AK11" s="43">
        <v>0.1487187778748407</v>
      </c>
      <c r="AL11" s="43">
        <v>0.11683200526321059</v>
      </c>
      <c r="AM11" s="43">
        <v>6.8179110382991626E-2</v>
      </c>
      <c r="AN11" s="43">
        <v>9.2635138417611396E-2</v>
      </c>
      <c r="AO11" s="43">
        <v>0.18903591818736271</v>
      </c>
      <c r="AP11" s="43">
        <v>7.6364914494330804E-2</v>
      </c>
      <c r="AQ11" s="43">
        <v>-1.9580321857155299E-2</v>
      </c>
      <c r="AR11" s="43">
        <v>6.6471715879812265E-4</v>
      </c>
      <c r="AS11" s="43">
        <v>-4.708030492168791E-2</v>
      </c>
      <c r="AT11" s="43">
        <v>-2.8879342461571981E-2</v>
      </c>
      <c r="AU11" s="43">
        <v>2.8232113479163878E-2</v>
      </c>
      <c r="AV11" s="43">
        <v>9.4368045728387084E-2</v>
      </c>
      <c r="AW11" s="43">
        <v>2.6772442390091019E-2</v>
      </c>
      <c r="AX11" s="43">
        <v>7.1882644227936998E-2</v>
      </c>
      <c r="AY11" s="43">
        <v>1.214525779955289E-2</v>
      </c>
      <c r="AZ11" s="43">
        <v>3.6855994035540629E-2</v>
      </c>
    </row>
    <row r="12" spans="1:52" ht="16" x14ac:dyDescent="0.2">
      <c r="A12" s="41">
        <v>40483</v>
      </c>
      <c r="B12" s="44">
        <v>3.3790070627763853E-2</v>
      </c>
      <c r="C12" s="44">
        <v>-9.3725973277546282E-2</v>
      </c>
      <c r="D12" s="44">
        <v>-1.243340625977596E-2</v>
      </c>
      <c r="E12" s="44">
        <v>0.36513162744837852</v>
      </c>
      <c r="F12" s="44">
        <v>-7.8685527031547298E-2</v>
      </c>
      <c r="G12" s="44">
        <v>6.1550575211672072E-2</v>
      </c>
      <c r="H12" s="44">
        <v>7.6336610732054666E-2</v>
      </c>
      <c r="I12" s="44">
        <v>-2.8598630085371109E-2</v>
      </c>
      <c r="J12" s="44">
        <v>7.7106960247586454E-2</v>
      </c>
      <c r="K12" s="44">
        <v>-0.16185517238238201</v>
      </c>
      <c r="L12" s="44">
        <v>-1.134554567182877E-2</v>
      </c>
      <c r="M12" s="44">
        <v>1.051751825775704E-2</v>
      </c>
      <c r="N12" s="44">
        <v>-3.061608270052563E-2</v>
      </c>
      <c r="O12" s="44">
        <v>9.2199121119576066E-3</v>
      </c>
      <c r="P12" s="44">
        <v>-7.0727658161863438E-2</v>
      </c>
      <c r="Q12" s="44">
        <v>0.29530206568640183</v>
      </c>
      <c r="R12" s="44">
        <v>0.1204758564335893</v>
      </c>
      <c r="S12" s="44">
        <v>-2.980074820119849E-2</v>
      </c>
      <c r="T12" s="44">
        <v>-1.1860174276189021E-2</v>
      </c>
      <c r="U12" s="44">
        <v>-9.4492583039913036E-2</v>
      </c>
      <c r="V12" s="44">
        <v>-2.883507626450765E-2</v>
      </c>
      <c r="W12" s="44">
        <v>-1.475390326462744E-2</v>
      </c>
      <c r="X12" s="44">
        <v>-0.1290515989328922</v>
      </c>
      <c r="Y12" s="44">
        <v>-2.6048792863362039E-2</v>
      </c>
      <c r="Z12" s="44">
        <v>-6.1122615998160379E-3</v>
      </c>
      <c r="AA12" s="44">
        <v>3.7288925883688373E-2</v>
      </c>
      <c r="AB12" s="44">
        <v>2.5478684872767499E-2</v>
      </c>
      <c r="AC12" s="44">
        <v>1.469568321813974E-2</v>
      </c>
      <c r="AD12" s="44">
        <v>-4.8254437256530891E-2</v>
      </c>
      <c r="AE12" s="44">
        <v>-1.6485539789019229E-2</v>
      </c>
      <c r="AF12" s="44">
        <v>-4.7048919740826263E-2</v>
      </c>
      <c r="AG12" s="44">
        <v>-0.11985462995391601</v>
      </c>
      <c r="AH12" s="44">
        <v>-7.1392222970272035E-2</v>
      </c>
      <c r="AI12" s="44">
        <v>-4.3567980598953282E-2</v>
      </c>
      <c r="AJ12" s="44">
        <v>0.13227968791578551</v>
      </c>
      <c r="AK12" s="44">
        <v>0.1168576875749712</v>
      </c>
      <c r="AL12" s="44">
        <v>2.5893808089084262E-2</v>
      </c>
      <c r="AM12" s="44">
        <v>-3.932652304326778E-2</v>
      </c>
      <c r="AN12" s="44">
        <v>5.1808058250946358E-2</v>
      </c>
      <c r="AO12" s="44">
        <v>1.5898236127033009E-2</v>
      </c>
      <c r="AP12" s="44">
        <v>3.5473579292762958E-2</v>
      </c>
      <c r="AQ12" s="44">
        <v>0.1031857585454523</v>
      </c>
      <c r="AR12" s="44">
        <v>4.0881666151476807E-2</v>
      </c>
      <c r="AS12" s="44">
        <v>0.10379173325990811</v>
      </c>
      <c r="AT12" s="44">
        <v>2.1443804901147171E-2</v>
      </c>
      <c r="AU12" s="44">
        <v>-2.9256299610610488E-3</v>
      </c>
      <c r="AV12" s="44">
        <v>7.5414429982483044E-2</v>
      </c>
      <c r="AW12" s="44">
        <v>1.3037626825680659E-2</v>
      </c>
      <c r="AX12" s="44">
        <v>3.203552963621692E-2</v>
      </c>
      <c r="AY12" s="44">
        <v>-1.4773965612911999E-3</v>
      </c>
      <c r="AZ12" s="44">
        <v>-2.2902497465766558E-3</v>
      </c>
    </row>
    <row r="13" spans="1:52" ht="16" x14ac:dyDescent="0.2">
      <c r="A13" s="39">
        <v>40513</v>
      </c>
      <c r="B13" s="43">
        <v>3.6670577806926292E-2</v>
      </c>
      <c r="C13" s="43">
        <v>3.010109864370247E-2</v>
      </c>
      <c r="D13" s="43">
        <v>0.10719429968948629</v>
      </c>
      <c r="E13" s="43">
        <v>-1.20482384544226E-2</v>
      </c>
      <c r="F13" s="43">
        <v>4.1943637413486279E-2</v>
      </c>
      <c r="G13" s="43">
        <v>2.6225716103893681E-2</v>
      </c>
      <c r="H13" s="43">
        <v>0.1070921299912115</v>
      </c>
      <c r="I13" s="43">
        <v>9.6306697217193982E-2</v>
      </c>
      <c r="J13" s="43">
        <v>6.8037120898849279E-2</v>
      </c>
      <c r="K13" s="43">
        <v>5.5845554308890037E-2</v>
      </c>
      <c r="L13" s="43">
        <v>0.12696040790284749</v>
      </c>
      <c r="M13" s="43">
        <v>3.8627175473392228E-2</v>
      </c>
      <c r="N13" s="43">
        <v>5.8312222670892977E-2</v>
      </c>
      <c r="O13" s="43">
        <v>3.8133474498429631E-2</v>
      </c>
      <c r="P13" s="43">
        <v>2.765624154668633E-2</v>
      </c>
      <c r="Q13" s="43">
        <v>0.4179620193847895</v>
      </c>
      <c r="R13" s="43">
        <v>-1.304216831225857E-2</v>
      </c>
      <c r="S13" s="43">
        <v>7.3687143632694463E-2</v>
      </c>
      <c r="T13" s="43">
        <v>0.16450906113761449</v>
      </c>
      <c r="U13" s="43">
        <v>6.8848896767500278E-2</v>
      </c>
      <c r="V13" s="43">
        <v>7.6983067345430367E-2</v>
      </c>
      <c r="W13" s="43">
        <v>0.16054322827382461</v>
      </c>
      <c r="X13" s="43">
        <v>0.14128181976042059</v>
      </c>
      <c r="Y13" s="43">
        <v>4.8742477374326132E-3</v>
      </c>
      <c r="Z13" s="43">
        <v>0.13422514397159779</v>
      </c>
      <c r="AA13" s="43">
        <v>4.1158954645524881E-2</v>
      </c>
      <c r="AB13" s="43">
        <v>6.605422262350169E-3</v>
      </c>
      <c r="AC13" s="43">
        <v>-1.9668383090563849E-2</v>
      </c>
      <c r="AD13" s="43">
        <v>0.106173854469906</v>
      </c>
      <c r="AE13" s="43">
        <v>0.1124283207386656</v>
      </c>
      <c r="AF13" s="43">
        <v>0.10490888362494941</v>
      </c>
      <c r="AG13" s="43">
        <v>0.10316374355974479</v>
      </c>
      <c r="AH13" s="43">
        <v>2.7064593134877409E-2</v>
      </c>
      <c r="AI13" s="43">
        <v>7.9128156581808939E-2</v>
      </c>
      <c r="AJ13" s="43">
        <v>0.13152097267321761</v>
      </c>
      <c r="AK13" s="43">
        <v>6.5557006012084473E-2</v>
      </c>
      <c r="AL13" s="43">
        <v>8.5305625866717527E-2</v>
      </c>
      <c r="AM13" s="43">
        <v>5.3381377088514093E-2</v>
      </c>
      <c r="AN13" s="43">
        <v>7.5656743140522398E-2</v>
      </c>
      <c r="AO13" s="43">
        <v>-7.5117375446437817E-2</v>
      </c>
      <c r="AP13" s="43">
        <v>9.6124016752656694E-2</v>
      </c>
      <c r="AQ13" s="43">
        <v>1.8965453135480811E-2</v>
      </c>
      <c r="AR13" s="43">
        <v>5.7027120149878208E-2</v>
      </c>
      <c r="AS13" s="43">
        <v>0.13913937225782419</v>
      </c>
      <c r="AT13" s="43">
        <v>0.1291627744145474</v>
      </c>
      <c r="AU13" s="43">
        <v>-2.6748131231436711E-2</v>
      </c>
      <c r="AV13" s="43">
        <v>2.2012185787608551E-2</v>
      </c>
      <c r="AW13" s="43">
        <v>-7.9677611803772308E-3</v>
      </c>
      <c r="AX13" s="43">
        <v>2.8299034289513081E-2</v>
      </c>
      <c r="AY13" s="43">
        <v>2.556120144287632E-3</v>
      </c>
      <c r="AZ13" s="43">
        <v>6.5300040347155086E-2</v>
      </c>
    </row>
    <row r="14" spans="1:52" ht="16" x14ac:dyDescent="0.2">
      <c r="A14" s="41">
        <v>40544</v>
      </c>
      <c r="B14" s="44">
        <v>5.1958433806516879E-2</v>
      </c>
      <c r="C14" s="44">
        <v>-4.864955825598527E-2</v>
      </c>
      <c r="D14" s="44">
        <v>7.3749139044039014E-2</v>
      </c>
      <c r="E14" s="44">
        <v>0.129268346862522</v>
      </c>
      <c r="F14" s="44">
        <v>3.2785038587046511E-3</v>
      </c>
      <c r="G14" s="44">
        <v>-5.7555516560872433E-2</v>
      </c>
      <c r="H14" s="44">
        <v>4.0638156046393759E-2</v>
      </c>
      <c r="I14" s="44">
        <v>4.0000391789008598E-2</v>
      </c>
      <c r="J14" s="44">
        <v>-5.123967356757908E-3</v>
      </c>
      <c r="K14" s="44">
        <v>4.5476729903419333E-2</v>
      </c>
      <c r="L14" s="44">
        <v>4.0328692952073641E-2</v>
      </c>
      <c r="M14" s="44">
        <v>3.6257075048040432E-2</v>
      </c>
      <c r="N14" s="44">
        <v>-1.4478264232847369E-2</v>
      </c>
      <c r="O14" s="44">
        <v>2.9910791786583731E-2</v>
      </c>
      <c r="P14" s="44">
        <v>0.1657448759084672</v>
      </c>
      <c r="Q14" s="44">
        <v>5.6029237029187273E-2</v>
      </c>
      <c r="R14" s="44">
        <v>-0.16733255835818439</v>
      </c>
      <c r="S14" s="44">
        <v>6.8871321187471413E-2</v>
      </c>
      <c r="T14" s="44">
        <v>0.1011489039776861</v>
      </c>
      <c r="U14" s="44">
        <v>1.075810865795312E-2</v>
      </c>
      <c r="V14" s="44">
        <v>-2.6998694198177579E-2</v>
      </c>
      <c r="W14" s="44">
        <v>4.8773089754936987E-2</v>
      </c>
      <c r="X14" s="44">
        <v>-0.1099033667583906</v>
      </c>
      <c r="Y14" s="44">
        <v>-3.3629722580555743E-2</v>
      </c>
      <c r="Z14" s="44">
        <v>6.0622270887500829E-2</v>
      </c>
      <c r="AA14" s="44">
        <v>-4.4397231459916808E-2</v>
      </c>
      <c r="AB14" s="44">
        <v>9.5069484951092464E-2</v>
      </c>
      <c r="AC14" s="44">
        <v>-4.0255106288210163E-2</v>
      </c>
      <c r="AD14" s="44">
        <v>3.9466747970047011E-2</v>
      </c>
      <c r="AE14" s="44">
        <v>8.2350443725212052E-2</v>
      </c>
      <c r="AF14" s="44">
        <v>-6.4494365937917131E-3</v>
      </c>
      <c r="AG14" s="44">
        <v>0.31421436318348622</v>
      </c>
      <c r="AH14" s="44">
        <v>2.8274703873153229E-2</v>
      </c>
      <c r="AI14" s="44">
        <v>-4.1847682440142586E-3</v>
      </c>
      <c r="AJ14" s="44">
        <v>0.55324642521364531</v>
      </c>
      <c r="AK14" s="44">
        <v>4.889358539753097E-2</v>
      </c>
      <c r="AL14" s="44">
        <v>7.1074187810085565E-2</v>
      </c>
      <c r="AM14" s="44">
        <v>-1.1379034357263951E-2</v>
      </c>
      <c r="AN14" s="44">
        <v>3.6037288880046203E-2</v>
      </c>
      <c r="AO14" s="44">
        <v>0.1150592762660632</v>
      </c>
      <c r="AP14" s="44">
        <v>5.802589358715271E-2</v>
      </c>
      <c r="AQ14" s="44">
        <v>9.3062732478303101E-2</v>
      </c>
      <c r="AR14" s="44">
        <v>9.3756004063360265E-2</v>
      </c>
      <c r="AS14" s="44">
        <v>2.5891031995844971E-2</v>
      </c>
      <c r="AT14" s="44">
        <v>1.17016332972435E-2</v>
      </c>
      <c r="AU14" s="44">
        <v>6.7582831623868023E-2</v>
      </c>
      <c r="AV14" s="44">
        <v>4.7352141785654833E-2</v>
      </c>
      <c r="AW14" s="44">
        <v>0.13680407248412091</v>
      </c>
      <c r="AX14" s="44">
        <v>2.126050399722779E-2</v>
      </c>
      <c r="AY14" s="44">
        <v>3.9681204627936888E-2</v>
      </c>
      <c r="AZ14" s="44">
        <v>2.2645574359139161E-2</v>
      </c>
    </row>
    <row r="15" spans="1:52" ht="16" x14ac:dyDescent="0.2">
      <c r="A15" s="39">
        <v>40575</v>
      </c>
      <c r="B15" s="43">
        <v>4.0935451057961807E-2</v>
      </c>
      <c r="C15" s="43">
        <v>6.5102010541374877E-2</v>
      </c>
      <c r="D15" s="43">
        <v>4.3872943915638452E-2</v>
      </c>
      <c r="E15" s="43">
        <v>-3.0237654397911259E-2</v>
      </c>
      <c r="F15" s="43">
        <v>-6.8082546599815941E-2</v>
      </c>
      <c r="G15" s="43">
        <v>2.1516137468515328E-2</v>
      </c>
      <c r="H15" s="43">
        <v>6.1024369096618132E-2</v>
      </c>
      <c r="I15" s="43">
        <v>0.13230748019320601</v>
      </c>
      <c r="J15" s="43">
        <v>4.3924683296350457E-2</v>
      </c>
      <c r="K15" s="43">
        <v>-0.1224581852020428</v>
      </c>
      <c r="L15" s="43">
        <v>0.1011303739339471</v>
      </c>
      <c r="M15" s="43">
        <v>0.12528958980266849</v>
      </c>
      <c r="N15" s="43">
        <v>-2.1130956133892039E-2</v>
      </c>
      <c r="O15" s="43">
        <v>1.8979066445198089E-2</v>
      </c>
      <c r="P15" s="43">
        <v>5.5644317468498627E-2</v>
      </c>
      <c r="Q15" s="43">
        <v>0.43598612453380498</v>
      </c>
      <c r="R15" s="43">
        <v>8.8854079413706488E-2</v>
      </c>
      <c r="S15" s="43">
        <v>9.5494744532245157E-3</v>
      </c>
      <c r="T15" s="43">
        <v>4.5916451729622887E-2</v>
      </c>
      <c r="U15" s="43">
        <v>2.1720392417080351E-2</v>
      </c>
      <c r="V15" s="43">
        <v>3.104301962969958E-3</v>
      </c>
      <c r="W15" s="43">
        <v>1.9037611773072619E-2</v>
      </c>
      <c r="X15" s="43">
        <v>-7.1913126350202972E-2</v>
      </c>
      <c r="Y15" s="43">
        <v>3.7236866861846803E-2</v>
      </c>
      <c r="Z15" s="43">
        <v>3.8941165527370147E-2</v>
      </c>
      <c r="AA15" s="43">
        <v>1.7024465481762618E-2</v>
      </c>
      <c r="AB15" s="43">
        <v>8.6282235149499398E-2</v>
      </c>
      <c r="AC15" s="43">
        <v>3.5683894820916828E-2</v>
      </c>
      <c r="AD15" s="43">
        <v>4.1753193351953037E-2</v>
      </c>
      <c r="AE15" s="43">
        <v>9.523894869282179E-3</v>
      </c>
      <c r="AF15" s="43">
        <v>-3.5805684843049801E-2</v>
      </c>
      <c r="AG15" s="43">
        <v>5.5977119118153729E-2</v>
      </c>
      <c r="AH15" s="43">
        <v>3.7598140936798703E-2</v>
      </c>
      <c r="AI15" s="43">
        <v>-5.6093323003474693E-2</v>
      </c>
      <c r="AJ15" s="43">
        <v>-5.2675753742685287E-2</v>
      </c>
      <c r="AK15" s="43">
        <v>8.2869231055491266E-2</v>
      </c>
      <c r="AL15" s="43">
        <v>9.6451361286309156E-2</v>
      </c>
      <c r="AM15" s="43">
        <v>-1.266891052574826E-3</v>
      </c>
      <c r="AN15" s="43">
        <v>9.1977501893270031E-4</v>
      </c>
      <c r="AO15" s="43">
        <v>0.3566008153842859</v>
      </c>
      <c r="AP15" s="43">
        <v>9.3439416718777091E-2</v>
      </c>
      <c r="AQ15" s="43">
        <v>9.9845260437630534E-2</v>
      </c>
      <c r="AR15" s="43">
        <v>0.1042862595744847</v>
      </c>
      <c r="AS15" s="43">
        <v>7.6900263329031437E-2</v>
      </c>
      <c r="AT15" s="43">
        <v>-2.657632942993815E-2</v>
      </c>
      <c r="AU15" s="43">
        <v>5.551134008080405E-2</v>
      </c>
      <c r="AV15" s="43">
        <v>5.0132672079247209E-2</v>
      </c>
      <c r="AW15" s="43">
        <v>3.7272228731333623E-2</v>
      </c>
      <c r="AX15" s="43">
        <v>1.239962408949258E-2</v>
      </c>
      <c r="AY15" s="43">
        <v>-7.2944570628519889E-2</v>
      </c>
      <c r="AZ15" s="43">
        <v>3.1956563728093412E-2</v>
      </c>
    </row>
    <row r="16" spans="1:52" ht="16" x14ac:dyDescent="0.2">
      <c r="A16" s="41">
        <v>40603</v>
      </c>
      <c r="B16" s="44">
        <v>-1.3306634305740859E-2</v>
      </c>
      <c r="C16" s="44">
        <v>1.9750262559431461E-2</v>
      </c>
      <c r="D16" s="44">
        <v>-3.8840584132982303E-2</v>
      </c>
      <c r="E16" s="44">
        <v>0.11581302545014931</v>
      </c>
      <c r="F16" s="44">
        <v>4.1301058159228347E-2</v>
      </c>
      <c r="G16" s="44">
        <v>3.9471406116217127E-2</v>
      </c>
      <c r="H16" s="44">
        <v>8.1803096665022057E-2</v>
      </c>
      <c r="I16" s="44">
        <v>-4.0372724929210513E-2</v>
      </c>
      <c r="J16" s="44">
        <v>-1.9655105615656199E-2</v>
      </c>
      <c r="K16" s="44">
        <v>-7.2733407115992965E-2</v>
      </c>
      <c r="L16" s="44">
        <v>3.6049045276442149E-2</v>
      </c>
      <c r="M16" s="44">
        <v>-1.4860590347741341E-2</v>
      </c>
      <c r="N16" s="44">
        <v>5.2689420603817087E-2</v>
      </c>
      <c r="O16" s="44">
        <v>-2.0616626548686678E-2</v>
      </c>
      <c r="P16" s="44">
        <v>5.5204433049929502E-2</v>
      </c>
      <c r="Q16" s="44">
        <v>-8.9959831543579005E-2</v>
      </c>
      <c r="R16" s="44">
        <v>-0.13083638811888471</v>
      </c>
      <c r="S16" s="44">
        <v>5.7801477500565301E-3</v>
      </c>
      <c r="T16" s="44">
        <v>-4.1586369179855358E-2</v>
      </c>
      <c r="U16" s="44">
        <v>-4.3430158597852819E-2</v>
      </c>
      <c r="V16" s="44">
        <v>-3.1627466947868998E-2</v>
      </c>
      <c r="W16" s="44">
        <v>-4.1900743701810414E-3</v>
      </c>
      <c r="X16" s="44">
        <v>0.1586257330325449</v>
      </c>
      <c r="Y16" s="44">
        <v>-3.5644348585014092E-2</v>
      </c>
      <c r="Z16" s="44">
        <v>-1.26362956599162E-2</v>
      </c>
      <c r="AA16" s="44">
        <v>4.5385379974727018E-2</v>
      </c>
      <c r="AB16" s="44">
        <v>0.1191052947244218</v>
      </c>
      <c r="AC16" s="44">
        <v>5.4177505339003673E-3</v>
      </c>
      <c r="AD16" s="44">
        <v>-1.427836018731499E-2</v>
      </c>
      <c r="AE16" s="44">
        <v>-7.9514667795567595E-2</v>
      </c>
      <c r="AF16" s="44">
        <v>-4.477069244656362E-2</v>
      </c>
      <c r="AG16" s="44">
        <v>3.0548173522321202E-2</v>
      </c>
      <c r="AH16" s="44">
        <v>3.8906428907790058E-3</v>
      </c>
      <c r="AI16" s="44">
        <v>-6.7944513478947477E-2</v>
      </c>
      <c r="AJ16" s="44">
        <v>-0.1853484533642337</v>
      </c>
      <c r="AK16" s="44">
        <v>6.9592343136340329E-2</v>
      </c>
      <c r="AL16" s="44">
        <v>3.5774739254176291E-2</v>
      </c>
      <c r="AM16" s="44">
        <v>-2.2998043048386822E-2</v>
      </c>
      <c r="AN16" s="44">
        <v>6.1672970086262158E-2</v>
      </c>
      <c r="AO16" s="44">
        <v>3.355781661481982E-3</v>
      </c>
      <c r="AP16" s="44">
        <v>-1.1269983558443551E-2</v>
      </c>
      <c r="AQ16" s="44">
        <v>-6.3687560627387452E-2</v>
      </c>
      <c r="AR16" s="44">
        <v>-7.9724660180422235E-2</v>
      </c>
      <c r="AS16" s="44">
        <v>0.2390403816594362</v>
      </c>
      <c r="AT16" s="44">
        <v>2.2771133797237161E-2</v>
      </c>
      <c r="AU16" s="44">
        <v>-2.8074081420653711E-3</v>
      </c>
      <c r="AV16" s="44">
        <v>-2.9486152724828681E-2</v>
      </c>
      <c r="AW16" s="44">
        <v>6.4585860590723021E-2</v>
      </c>
      <c r="AX16" s="44">
        <v>3.0604431899230899E-2</v>
      </c>
      <c r="AY16" s="44">
        <v>8.3655351912537146E-3</v>
      </c>
      <c r="AZ16" s="44">
        <v>-1.047312939166489E-3</v>
      </c>
    </row>
    <row r="17" spans="1:52" ht="16" x14ac:dyDescent="0.2">
      <c r="A17" s="39">
        <v>40634</v>
      </c>
      <c r="B17" s="43">
        <v>4.6483342592125174E-3</v>
      </c>
      <c r="C17" s="43">
        <v>7.1032690387792696E-2</v>
      </c>
      <c r="D17" s="43">
        <v>1.1761139669573151E-2</v>
      </c>
      <c r="E17" s="43">
        <v>0.19560868212875329</v>
      </c>
      <c r="F17" s="43">
        <v>6.3611240084853859E-2</v>
      </c>
      <c r="G17" s="43">
        <v>8.7048178737823001E-2</v>
      </c>
      <c r="H17" s="43">
        <v>4.0778100152122798E-2</v>
      </c>
      <c r="I17" s="43">
        <v>6.5049102629082034E-2</v>
      </c>
      <c r="J17" s="43">
        <v>0.1032457876467008</v>
      </c>
      <c r="K17" s="43">
        <v>2.1574145872146119E-2</v>
      </c>
      <c r="L17" s="43">
        <v>1.814074514645125E-2</v>
      </c>
      <c r="M17" s="43">
        <v>2.320652354248498E-4</v>
      </c>
      <c r="N17" s="43">
        <v>3.4103967664412593E-2</v>
      </c>
      <c r="O17" s="43">
        <v>4.0047886483031807E-2</v>
      </c>
      <c r="P17" s="43">
        <v>-4.4672648134969073E-2</v>
      </c>
      <c r="Q17" s="43">
        <v>8.2082993066038501E-2</v>
      </c>
      <c r="R17" s="43">
        <v>-1.179681279197387E-2</v>
      </c>
      <c r="S17" s="43">
        <v>-4.2820120824974328E-2</v>
      </c>
      <c r="T17" s="43">
        <v>1.994974640566971E-2</v>
      </c>
      <c r="U17" s="43">
        <v>-7.2704409294992001E-2</v>
      </c>
      <c r="V17" s="43">
        <v>-4.7856573142882608E-2</v>
      </c>
      <c r="W17" s="43">
        <v>2.4285180993939282E-3</v>
      </c>
      <c r="X17" s="43">
        <v>0.16593054242707411</v>
      </c>
      <c r="Y17" s="43">
        <v>0.1091979968988028</v>
      </c>
      <c r="Z17" s="43">
        <v>-4.8279250750746794E-3</v>
      </c>
      <c r="AA17" s="43">
        <v>1.6882546295535979E-2</v>
      </c>
      <c r="AB17" s="43">
        <v>-7.2133881998803107E-2</v>
      </c>
      <c r="AC17" s="43">
        <v>2.9175791306029101E-2</v>
      </c>
      <c r="AD17" s="43">
        <v>6.7107921537588711E-2</v>
      </c>
      <c r="AE17" s="43">
        <v>-4.0970911217729111E-2</v>
      </c>
      <c r="AF17" s="43">
        <v>2.0874560343733691E-2</v>
      </c>
      <c r="AG17" s="43">
        <v>-1.307760985397766E-2</v>
      </c>
      <c r="AH17" s="43">
        <v>2.6305889838930781E-2</v>
      </c>
      <c r="AI17" s="43">
        <v>8.2243248430458493E-2</v>
      </c>
      <c r="AJ17" s="43">
        <v>8.3423576383560683E-2</v>
      </c>
      <c r="AK17" s="43">
        <v>-2.2694280950889101E-2</v>
      </c>
      <c r="AL17" s="43">
        <v>5.3755225541223028E-2</v>
      </c>
      <c r="AM17" s="43">
        <v>6.2308855709927613E-2</v>
      </c>
      <c r="AN17" s="43">
        <v>-3.8023701343231631E-3</v>
      </c>
      <c r="AO17" s="43">
        <v>-2.6755932848146698E-2</v>
      </c>
      <c r="AP17" s="43">
        <v>1.1954344186356989E-2</v>
      </c>
      <c r="AQ17" s="43">
        <v>3.9082958097561127E-2</v>
      </c>
      <c r="AR17" s="43">
        <v>4.1218411642905517E-2</v>
      </c>
      <c r="AS17" s="43">
        <v>0.13573668506672051</v>
      </c>
      <c r="AT17" s="43">
        <v>-2.0240357334236011E-2</v>
      </c>
      <c r="AU17" s="43">
        <v>7.8222292395919713E-2</v>
      </c>
      <c r="AV17" s="43">
        <v>3.1803232189078212E-2</v>
      </c>
      <c r="AW17" s="43">
        <v>8.915891389844588E-2</v>
      </c>
      <c r="AX17" s="43">
        <v>5.2273584245088101E-2</v>
      </c>
      <c r="AY17" s="43">
        <v>5.6291811323999193E-2</v>
      </c>
      <c r="AZ17" s="43">
        <v>2.8495380666536011E-2</v>
      </c>
    </row>
    <row r="18" spans="1:52" ht="16" x14ac:dyDescent="0.2">
      <c r="A18" s="41">
        <v>40664</v>
      </c>
      <c r="B18" s="44">
        <v>-6.5690983820265716E-3</v>
      </c>
      <c r="C18" s="44">
        <v>4.0354806977054292E-3</v>
      </c>
      <c r="D18" s="44">
        <v>3.2190815368534409E-2</v>
      </c>
      <c r="E18" s="44">
        <v>-5.509180906770772E-2</v>
      </c>
      <c r="F18" s="44">
        <v>6.4907757717839409E-2</v>
      </c>
      <c r="G18" s="44">
        <v>4.4942165380894572E-3</v>
      </c>
      <c r="H18" s="44">
        <v>-8.3268548394899833E-2</v>
      </c>
      <c r="I18" s="44">
        <v>-3.7008462500041528E-2</v>
      </c>
      <c r="J18" s="44">
        <v>2.264143037140642E-2</v>
      </c>
      <c r="K18" s="44">
        <v>-4.109562154086166E-2</v>
      </c>
      <c r="L18" s="44">
        <v>-3.3979831343537437E-2</v>
      </c>
      <c r="M18" s="44">
        <v>-3.4106815225835807E-2</v>
      </c>
      <c r="N18" s="44">
        <v>4.0182472747896769E-2</v>
      </c>
      <c r="O18" s="44">
        <v>-9.6725179502396563E-2</v>
      </c>
      <c r="P18" s="44">
        <v>-3.4586269273306991E-2</v>
      </c>
      <c r="Q18" s="44">
        <v>-5.1386631539922623E-2</v>
      </c>
      <c r="R18" s="44">
        <v>0.1205603901649457</v>
      </c>
      <c r="S18" s="44">
        <v>1.922568243554168E-2</v>
      </c>
      <c r="T18" s="44">
        <v>-3.9609096678927758E-2</v>
      </c>
      <c r="U18" s="44">
        <v>-2.771529081872659E-2</v>
      </c>
      <c r="V18" s="44">
        <v>-6.5675130716859043E-2</v>
      </c>
      <c r="W18" s="44">
        <v>-2.3418407197450811E-2</v>
      </c>
      <c r="X18" s="44">
        <v>-4.058441658972245E-2</v>
      </c>
      <c r="Y18" s="44">
        <v>3.2769824393515723E-2</v>
      </c>
      <c r="Z18" s="44">
        <v>-5.2377583821009883E-2</v>
      </c>
      <c r="AA18" s="44">
        <v>-9.6351052470846632E-3</v>
      </c>
      <c r="AB18" s="44">
        <v>-8.3911542866745736E-2</v>
      </c>
      <c r="AC18" s="44">
        <v>4.9009265260917312E-2</v>
      </c>
      <c r="AD18" s="44">
        <v>-2.5149200483270961E-2</v>
      </c>
      <c r="AE18" s="44">
        <v>-7.6099345634447868E-2</v>
      </c>
      <c r="AF18" s="44">
        <v>-2.878313756656847E-2</v>
      </c>
      <c r="AG18" s="44">
        <v>-9.8939926275799506E-2</v>
      </c>
      <c r="AH18" s="44">
        <v>2.4394659141386391E-2</v>
      </c>
      <c r="AI18" s="44">
        <v>5.1045831502485102E-2</v>
      </c>
      <c r="AJ18" s="44">
        <v>2.0001055770386689E-3</v>
      </c>
      <c r="AK18" s="44">
        <v>-6.7719089429443158E-2</v>
      </c>
      <c r="AL18" s="44">
        <v>1.644246004852001E-2</v>
      </c>
      <c r="AM18" s="44">
        <v>3.2357627789036718E-2</v>
      </c>
      <c r="AN18" s="44">
        <v>-5.4066376358674062E-2</v>
      </c>
      <c r="AO18" s="44">
        <v>0.15005732970303479</v>
      </c>
      <c r="AP18" s="44">
        <v>2.4260213624485379E-2</v>
      </c>
      <c r="AQ18" s="44">
        <v>-4.9547849450876869E-2</v>
      </c>
      <c r="AR18" s="44">
        <v>3.0207509162822221E-2</v>
      </c>
      <c r="AS18" s="44">
        <v>0.175940336554091</v>
      </c>
      <c r="AT18" s="44">
        <v>7.2015464520148287E-2</v>
      </c>
      <c r="AU18" s="44">
        <v>-7.64287220287585E-3</v>
      </c>
      <c r="AV18" s="44">
        <v>-6.4731530133402826E-3</v>
      </c>
      <c r="AW18" s="44">
        <v>-5.6875568775522911E-3</v>
      </c>
      <c r="AX18" s="44">
        <v>1.921645652294535E-2</v>
      </c>
      <c r="AY18" s="44">
        <v>1.101073989216861E-2</v>
      </c>
      <c r="AZ18" s="44">
        <v>-1.3500952895223239E-2</v>
      </c>
    </row>
    <row r="19" spans="1:52" ht="16" x14ac:dyDescent="0.2">
      <c r="A19" s="39">
        <v>40695</v>
      </c>
      <c r="B19" s="43">
        <v>-3.4959497009026792E-2</v>
      </c>
      <c r="C19" s="43">
        <v>7.0813165335126271E-3</v>
      </c>
      <c r="D19" s="43">
        <v>-9.1827900868986512E-2</v>
      </c>
      <c r="E19" s="43">
        <v>-4.0636046868207543E-2</v>
      </c>
      <c r="F19" s="43">
        <v>-3.6174508632494162E-2</v>
      </c>
      <c r="G19" s="43">
        <v>3.9656248639357017E-2</v>
      </c>
      <c r="H19" s="43">
        <v>6.2384564468020987E-3</v>
      </c>
      <c r="I19" s="43">
        <v>3.9616601075911362E-3</v>
      </c>
      <c r="J19" s="43">
        <v>-1.5034251398799769E-2</v>
      </c>
      <c r="K19" s="43">
        <v>-7.0833492142140186E-2</v>
      </c>
      <c r="L19" s="43">
        <v>-1.9731266716376709E-2</v>
      </c>
      <c r="M19" s="43">
        <v>-6.2214764473980673E-2</v>
      </c>
      <c r="N19" s="43">
        <v>3.0642197206172339E-2</v>
      </c>
      <c r="O19" s="43">
        <v>3.1164315064518219E-2</v>
      </c>
      <c r="P19" s="43">
        <v>-4.2056435577810143E-2</v>
      </c>
      <c r="Q19" s="43">
        <v>-0.22957868013935939</v>
      </c>
      <c r="R19" s="43">
        <v>-2.9318557645455209E-2</v>
      </c>
      <c r="S19" s="43">
        <v>1.0482388825096219E-2</v>
      </c>
      <c r="T19" s="43">
        <v>-3.1817484325768142E-2</v>
      </c>
      <c r="U19" s="43">
        <v>-4.2796310807051818E-2</v>
      </c>
      <c r="V19" s="43">
        <v>-5.4288334836839917E-2</v>
      </c>
      <c r="W19" s="43">
        <v>5.8503192947145788E-3</v>
      </c>
      <c r="X19" s="43">
        <v>6.8245968587806738E-2</v>
      </c>
      <c r="Y19" s="43">
        <v>-1.144308772573188E-2</v>
      </c>
      <c r="Z19" s="43">
        <v>-5.3191555104612258E-2</v>
      </c>
      <c r="AA19" s="43">
        <v>1.447597864622807E-2</v>
      </c>
      <c r="AB19" s="43">
        <v>2.5641150333514551E-2</v>
      </c>
      <c r="AC19" s="43">
        <v>3.4093774670625347E-2</v>
      </c>
      <c r="AD19" s="43">
        <v>-5.3316502269622479E-2</v>
      </c>
      <c r="AE19" s="43">
        <v>-4.7599652392661618E-2</v>
      </c>
      <c r="AF19" s="43">
        <v>3.9583567649888803E-2</v>
      </c>
      <c r="AG19" s="43">
        <v>-0.26666669862712272</v>
      </c>
      <c r="AH19" s="43">
        <v>1.0449792024447291E-3</v>
      </c>
      <c r="AI19" s="43">
        <v>-3.6333716248630472E-2</v>
      </c>
      <c r="AJ19" s="43">
        <v>-0.2045909432927305</v>
      </c>
      <c r="AK19" s="43">
        <v>-4.1109716665944651E-3</v>
      </c>
      <c r="AL19" s="43">
        <v>4.1075396541887972E-2</v>
      </c>
      <c r="AM19" s="43">
        <v>-5.1193712776626987E-2</v>
      </c>
      <c r="AN19" s="43">
        <v>1.0017047516939661E-2</v>
      </c>
      <c r="AO19" s="43">
        <v>-0.15637447219018241</v>
      </c>
      <c r="AP19" s="43">
        <v>-3.1089443895336629E-2</v>
      </c>
      <c r="AQ19" s="43">
        <v>6.0882234235499766E-3</v>
      </c>
      <c r="AR19" s="43">
        <v>-3.0722192997217349E-2</v>
      </c>
      <c r="AS19" s="43">
        <v>-5.5148223553862293E-2</v>
      </c>
      <c r="AT19" s="43">
        <v>-4.5195591379361688E-2</v>
      </c>
      <c r="AU19" s="43">
        <v>-9.2418364671934539E-3</v>
      </c>
      <c r="AV19" s="43">
        <v>-6.9971472643926003E-2</v>
      </c>
      <c r="AW19" s="43">
        <v>5.7217958298439793E-2</v>
      </c>
      <c r="AX19" s="43">
        <v>-5.4300282936894373E-3</v>
      </c>
      <c r="AY19" s="43">
        <v>-3.7667576491181798E-2</v>
      </c>
      <c r="AZ19" s="43">
        <v>-1.825746165247932E-2</v>
      </c>
    </row>
    <row r="20" spans="1:52" ht="16" x14ac:dyDescent="0.2">
      <c r="A20" s="41">
        <v>40725</v>
      </c>
      <c r="B20" s="44">
        <v>0.16328520743423591</v>
      </c>
      <c r="C20" s="44">
        <v>-1.5840523408141131E-2</v>
      </c>
      <c r="D20" s="44">
        <v>-0.11891896940346031</v>
      </c>
      <c r="E20" s="44">
        <v>7.3664844937908036E-2</v>
      </c>
      <c r="F20" s="44">
        <v>-6.255359901826929E-2</v>
      </c>
      <c r="G20" s="44">
        <v>8.8170641903188685E-2</v>
      </c>
      <c r="H20" s="44">
        <v>-6.8126537105882679E-2</v>
      </c>
      <c r="I20" s="44">
        <v>-4.7845638137295587E-2</v>
      </c>
      <c r="J20" s="44">
        <v>-3.6804233114733242E-2</v>
      </c>
      <c r="K20" s="44">
        <v>2.6947176716013651E-2</v>
      </c>
      <c r="L20" s="44">
        <v>1.1474393917580089E-2</v>
      </c>
      <c r="M20" s="44">
        <v>-1.0758208858197451E-2</v>
      </c>
      <c r="N20" s="44">
        <v>-0.113160654536048</v>
      </c>
      <c r="O20" s="44">
        <v>-0.12728846821105341</v>
      </c>
      <c r="P20" s="44">
        <v>-2.280934274487656E-2</v>
      </c>
      <c r="Q20" s="44">
        <v>-0.14062502494614029</v>
      </c>
      <c r="R20" s="44">
        <v>-0.1521088130890377</v>
      </c>
      <c r="S20" s="44">
        <v>-8.5614575583585761E-2</v>
      </c>
      <c r="T20" s="44">
        <v>-5.0370942025292458E-2</v>
      </c>
      <c r="U20" s="44">
        <v>0.19216813482926159</v>
      </c>
      <c r="V20" s="44">
        <v>1.412591440952826E-2</v>
      </c>
      <c r="W20" s="44">
        <v>-3.5615737243002932E-2</v>
      </c>
      <c r="X20" s="44">
        <v>-7.919746344794043E-2</v>
      </c>
      <c r="Y20" s="44">
        <v>-2.6006952390408511E-2</v>
      </c>
      <c r="Z20" s="44">
        <v>-5.8981763097123441E-3</v>
      </c>
      <c r="AA20" s="44">
        <v>1.0700175444803509E-2</v>
      </c>
      <c r="AB20" s="44">
        <v>-7.9941848979090846E-2</v>
      </c>
      <c r="AC20" s="44">
        <v>2.561662737178505E-2</v>
      </c>
      <c r="AD20" s="44">
        <v>-5.833793320766345E-2</v>
      </c>
      <c r="AE20" s="44">
        <v>-3.0968717491367311E-2</v>
      </c>
      <c r="AF20" s="44">
        <v>5.3846315586253857E-2</v>
      </c>
      <c r="AG20" s="44">
        <v>-1.470574006908687E-2</v>
      </c>
      <c r="AH20" s="44">
        <v>-3.8460895566929658E-2</v>
      </c>
      <c r="AI20" s="44">
        <v>-9.9659131319617122E-2</v>
      </c>
      <c r="AJ20" s="44">
        <v>-0.13237111866336951</v>
      </c>
      <c r="AK20" s="44">
        <v>6.6666893515590742E-2</v>
      </c>
      <c r="AL20" s="44">
        <v>-8.9685832895248785E-3</v>
      </c>
      <c r="AM20" s="44">
        <v>-2.4795985348864961E-2</v>
      </c>
      <c r="AN20" s="44">
        <v>-0.1194566616858428</v>
      </c>
      <c r="AO20" s="44">
        <v>-0.1168831424727457</v>
      </c>
      <c r="AP20" s="44">
        <v>-5.8592884451911242E-3</v>
      </c>
      <c r="AQ20" s="44">
        <v>3.404072288299087E-3</v>
      </c>
      <c r="AR20" s="44">
        <v>-3.5393746827478763E-2</v>
      </c>
      <c r="AS20" s="44">
        <v>-6.4362496358780774E-2</v>
      </c>
      <c r="AT20" s="44">
        <v>-7.9885553718040625E-2</v>
      </c>
      <c r="AU20" s="44">
        <v>5.2731785162415827E-2</v>
      </c>
      <c r="AV20" s="44">
        <v>-8.9923733441600096E-2</v>
      </c>
      <c r="AW20" s="44">
        <v>-3.7805370830163783E-2</v>
      </c>
      <c r="AX20" s="44">
        <v>-1.839085263455642E-2</v>
      </c>
      <c r="AY20" s="44">
        <v>-8.0919384360298441E-3</v>
      </c>
      <c r="AZ20" s="44">
        <v>-2.1474425306666212E-2</v>
      </c>
    </row>
    <row r="21" spans="1:52" ht="16" x14ac:dyDescent="0.2">
      <c r="A21" s="39">
        <v>40756</v>
      </c>
      <c r="B21" s="43">
        <v>-1.446943539078926E-2</v>
      </c>
      <c r="C21" s="43">
        <v>2.3187407951049011E-2</v>
      </c>
      <c r="D21" s="43">
        <v>-8.9137473654358979E-2</v>
      </c>
      <c r="E21" s="43">
        <v>-0.14065175052403009</v>
      </c>
      <c r="F21" s="43">
        <v>1.832324048188649E-2</v>
      </c>
      <c r="G21" s="43">
        <v>-3.276110304953761E-2</v>
      </c>
      <c r="H21" s="43">
        <v>-7.8854090557932799E-2</v>
      </c>
      <c r="I21" s="43">
        <v>-0.10449636371148301</v>
      </c>
      <c r="J21" s="43">
        <v>6.8928017984553058E-3</v>
      </c>
      <c r="K21" s="43">
        <v>-1.8784918622417709E-2</v>
      </c>
      <c r="L21" s="43">
        <v>-4.218569668258354E-2</v>
      </c>
      <c r="M21" s="43">
        <v>-0.1180733741798098</v>
      </c>
      <c r="N21" s="43">
        <v>7.1999786419297829E-2</v>
      </c>
      <c r="O21" s="43">
        <v>-4.4371054313248608E-2</v>
      </c>
      <c r="P21" s="43">
        <v>-9.2254852937405429E-2</v>
      </c>
      <c r="Q21" s="43">
        <v>-2.857140203132635E-2</v>
      </c>
      <c r="R21" s="43">
        <v>-0.12740696656410619</v>
      </c>
      <c r="S21" s="43">
        <v>-5.9582984598943622E-2</v>
      </c>
      <c r="T21" s="43">
        <v>-8.9335800513219987E-2</v>
      </c>
      <c r="U21" s="43">
        <v>-0.1039110383998261</v>
      </c>
      <c r="V21" s="43">
        <v>-0.13631538542623359</v>
      </c>
      <c r="W21" s="43">
        <v>-3.7293703533188838E-2</v>
      </c>
      <c r="X21" s="43">
        <v>-7.8555091587181991E-2</v>
      </c>
      <c r="Y21" s="43">
        <v>2.463684765227514E-2</v>
      </c>
      <c r="Z21" s="43">
        <v>-7.1446211185877462E-2</v>
      </c>
      <c r="AA21" s="43">
        <v>3.5877096077927113E-2</v>
      </c>
      <c r="AB21" s="43">
        <v>-1.5843424700322409E-2</v>
      </c>
      <c r="AC21" s="43">
        <v>5.2515605981646292E-2</v>
      </c>
      <c r="AD21" s="43">
        <v>-2.7184302759169169E-2</v>
      </c>
      <c r="AE21" s="43">
        <v>-0.21348349508802969</v>
      </c>
      <c r="AF21" s="43">
        <v>-2.3069630874841821E-2</v>
      </c>
      <c r="AG21" s="43">
        <v>-0.19810053669349589</v>
      </c>
      <c r="AH21" s="43">
        <v>3.6953101423472967E-2</v>
      </c>
      <c r="AI21" s="43">
        <v>-0.20833326021002471</v>
      </c>
      <c r="AJ21" s="43">
        <v>-3.7599419709689157E-2</v>
      </c>
      <c r="AK21" s="43">
        <v>-8.2754204103376861E-3</v>
      </c>
      <c r="AL21" s="43">
        <v>-2.5964982620425351E-2</v>
      </c>
      <c r="AM21" s="43">
        <v>3.5615720552400809E-2</v>
      </c>
      <c r="AN21" s="43">
        <v>-6.5646289338584629E-2</v>
      </c>
      <c r="AO21" s="43">
        <v>-0.13636363346598709</v>
      </c>
      <c r="AP21" s="43">
        <v>-0.2357565122892227</v>
      </c>
      <c r="AQ21" s="43">
        <v>-5.163972634768399E-2</v>
      </c>
      <c r="AR21" s="43">
        <v>-5.6384332951090473E-2</v>
      </c>
      <c r="AS21" s="43">
        <v>0.11251403370120321</v>
      </c>
      <c r="AT21" s="43">
        <v>-1.371703325296336E-2</v>
      </c>
      <c r="AU21" s="43">
        <v>-8.586270365158466E-3</v>
      </c>
      <c r="AV21" s="43">
        <v>-0.1189916647766532</v>
      </c>
      <c r="AW21" s="43">
        <v>-4.2515120132519457E-2</v>
      </c>
      <c r="AX21" s="43">
        <v>-9.5809139971414492E-2</v>
      </c>
      <c r="AY21" s="43">
        <v>1.6406419095594149E-2</v>
      </c>
      <c r="AZ21" s="43">
        <v>-5.679110795232889E-2</v>
      </c>
    </row>
    <row r="22" spans="1:52" ht="16" x14ac:dyDescent="0.2">
      <c r="A22" s="41">
        <v>40787</v>
      </c>
      <c r="B22" s="44">
        <v>-9.1210412987201561E-3</v>
      </c>
      <c r="C22" s="44">
        <v>-2.609032179154858E-2</v>
      </c>
      <c r="D22" s="44">
        <v>-4.2393015234833957E-2</v>
      </c>
      <c r="E22" s="44">
        <v>-0.19161676532722069</v>
      </c>
      <c r="F22" s="44">
        <v>-7.942609143922863E-3</v>
      </c>
      <c r="G22" s="44">
        <v>4.6461213952082581E-3</v>
      </c>
      <c r="H22" s="44">
        <v>-0.18857145622557769</v>
      </c>
      <c r="I22" s="44">
        <v>-2.742861609749081E-2</v>
      </c>
      <c r="J22" s="44">
        <v>4.5709224783821778E-2</v>
      </c>
      <c r="K22" s="44">
        <v>-1.084896948406355E-2</v>
      </c>
      <c r="L22" s="44">
        <v>-6.3233798637163607E-2</v>
      </c>
      <c r="M22" s="44">
        <v>-0.1145039449739625</v>
      </c>
      <c r="N22" s="44">
        <v>-8.4767079250738897E-2</v>
      </c>
      <c r="O22" s="44">
        <v>-0.11256710402996201</v>
      </c>
      <c r="P22" s="44">
        <v>-0.23307027520877571</v>
      </c>
      <c r="Q22" s="44">
        <v>-0.27005347269727981</v>
      </c>
      <c r="R22" s="44">
        <v>-0.12896894302347189</v>
      </c>
      <c r="S22" s="44">
        <v>-0.1122035427501907</v>
      </c>
      <c r="T22" s="44">
        <v>-5.7880465121218923E-2</v>
      </c>
      <c r="U22" s="44">
        <v>-4.7914731839435183E-2</v>
      </c>
      <c r="V22" s="44">
        <v>-0.18645694888014019</v>
      </c>
      <c r="W22" s="44">
        <v>-1.5278925925880871E-2</v>
      </c>
      <c r="X22" s="44">
        <v>-0.13067824938862771</v>
      </c>
      <c r="Y22" s="44">
        <v>-3.2067034340663818E-2</v>
      </c>
      <c r="Z22" s="44">
        <v>-0.19808306247731891</v>
      </c>
      <c r="AA22" s="44">
        <v>-3.4481412936248512E-2</v>
      </c>
      <c r="AB22" s="44">
        <v>-0.13504820438467099</v>
      </c>
      <c r="AC22" s="44">
        <v>-2.8647025020092861E-2</v>
      </c>
      <c r="AD22" s="44">
        <v>-5.2181360866311088E-2</v>
      </c>
      <c r="AE22" s="44">
        <v>-0.22799958975503631</v>
      </c>
      <c r="AF22" s="44">
        <v>-6.4285848892046027E-2</v>
      </c>
      <c r="AG22" s="44">
        <v>-0.14720809914733671</v>
      </c>
      <c r="AH22" s="44">
        <v>-4.7602000928991028E-2</v>
      </c>
      <c r="AI22" s="44">
        <v>-9.8085988338434404E-2</v>
      </c>
      <c r="AJ22" s="44">
        <v>-6.0105797956907181E-2</v>
      </c>
      <c r="AK22" s="44">
        <v>-0.17217163208398761</v>
      </c>
      <c r="AL22" s="44">
        <v>-6.8547435961209935E-2</v>
      </c>
      <c r="AM22" s="44">
        <v>-7.8520430790331996E-3</v>
      </c>
      <c r="AN22" s="44">
        <v>-0.14026951187431921</v>
      </c>
      <c r="AO22" s="44">
        <v>-0.22910216878234249</v>
      </c>
      <c r="AP22" s="44">
        <v>-9.9949592158249945E-2</v>
      </c>
      <c r="AQ22" s="44">
        <v>-1.9475478172526369E-2</v>
      </c>
      <c r="AR22" s="44">
        <v>-5.4993929763201173E-2</v>
      </c>
      <c r="AS22" s="44">
        <v>-1.406068143025385E-2</v>
      </c>
      <c r="AT22" s="44">
        <v>-1.87484262006079E-2</v>
      </c>
      <c r="AU22" s="44">
        <v>1.556202690582653E-2</v>
      </c>
      <c r="AV22" s="44">
        <v>1.6787581543051159E-2</v>
      </c>
      <c r="AW22" s="44">
        <v>-2.6096109833255499E-2</v>
      </c>
      <c r="AX22" s="44">
        <v>-0.11391993366565591</v>
      </c>
      <c r="AY22" s="44">
        <v>-2.4252363072075341E-2</v>
      </c>
      <c r="AZ22" s="44">
        <v>-7.176198808089651E-2</v>
      </c>
    </row>
    <row r="23" spans="1:52" ht="16" x14ac:dyDescent="0.2">
      <c r="A23" s="39">
        <v>40817</v>
      </c>
      <c r="B23" s="43">
        <v>6.1523760213098688E-2</v>
      </c>
      <c r="C23" s="43">
        <v>6.3065489690855125E-2</v>
      </c>
      <c r="D23" s="43">
        <v>0.2167976729241958</v>
      </c>
      <c r="E23" s="43">
        <v>-4.9382784366241113E-2</v>
      </c>
      <c r="F23" s="43">
        <v>4.2030736043659589E-2</v>
      </c>
      <c r="G23" s="43">
        <v>-1.257916890828437E-2</v>
      </c>
      <c r="H23" s="43">
        <v>0.28633419450592063</v>
      </c>
      <c r="I23" s="43">
        <v>0.12702359557303941</v>
      </c>
      <c r="J23" s="43">
        <v>1.363683093936552E-2</v>
      </c>
      <c r="K23" s="43">
        <v>0.20022484457268819</v>
      </c>
      <c r="L23" s="43">
        <v>0.13457189252970411</v>
      </c>
      <c r="M23" s="43">
        <v>0.15649888829893149</v>
      </c>
      <c r="N23" s="43">
        <v>0.101247443905657</v>
      </c>
      <c r="O23" s="43">
        <v>0.16485056267573711</v>
      </c>
      <c r="P23" s="43">
        <v>0.26189420866143132</v>
      </c>
      <c r="Q23" s="43">
        <v>0.41575090935290748</v>
      </c>
      <c r="R23" s="43">
        <v>0.46305408139838788</v>
      </c>
      <c r="S23" s="43">
        <v>0.13768052396610669</v>
      </c>
      <c r="T23" s="43">
        <v>9.7897480884158838E-2</v>
      </c>
      <c r="U23" s="43">
        <v>0.15066784248215589</v>
      </c>
      <c r="V23" s="43">
        <v>0.15864627638788531</v>
      </c>
      <c r="W23" s="43">
        <v>8.9139092935234254E-2</v>
      </c>
      <c r="X23" s="43">
        <v>-1.4316378342322911E-2</v>
      </c>
      <c r="Y23" s="43">
        <v>1.0990364994262871E-2</v>
      </c>
      <c r="Z23" s="43">
        <v>0.16420919674885059</v>
      </c>
      <c r="AA23" s="43">
        <v>1.124941159937398E-2</v>
      </c>
      <c r="AB23" s="43">
        <v>7.992528765882545E-2</v>
      </c>
      <c r="AC23" s="43">
        <v>5.7276074269688948E-2</v>
      </c>
      <c r="AD23" s="43">
        <v>5.3088294521840267E-2</v>
      </c>
      <c r="AE23" s="43">
        <v>0.30963438066926813</v>
      </c>
      <c r="AF23" s="43">
        <v>6.9907941302758791E-2</v>
      </c>
      <c r="AG23" s="43">
        <v>0.1091269945222859</v>
      </c>
      <c r="AH23" s="43">
        <v>4.4057399703036897E-2</v>
      </c>
      <c r="AI23" s="43">
        <v>0.20719113899705241</v>
      </c>
      <c r="AJ23" s="43">
        <v>0.1830542377569431</v>
      </c>
      <c r="AK23" s="43">
        <v>0.18364478023254011</v>
      </c>
      <c r="AL23" s="43">
        <v>0.15157443233019041</v>
      </c>
      <c r="AM23" s="43">
        <v>2.1078043937577281E-2</v>
      </c>
      <c r="AN23" s="43">
        <v>0.29177908934342162</v>
      </c>
      <c r="AO23" s="43">
        <v>0.2590361359261657</v>
      </c>
      <c r="AP23" s="43">
        <v>0.22721669714877241</v>
      </c>
      <c r="AQ23" s="43">
        <v>0.10093239645834549</v>
      </c>
      <c r="AR23" s="43">
        <v>6.1073062265574629E-2</v>
      </c>
      <c r="AS23" s="43">
        <v>-4.9828134585387263E-2</v>
      </c>
      <c r="AT23" s="43">
        <v>0.1128896302925235</v>
      </c>
      <c r="AU23" s="43">
        <v>6.2376187876209688E-2</v>
      </c>
      <c r="AV23" s="43">
        <v>0.15945371445690151</v>
      </c>
      <c r="AW23" s="43">
        <v>4.0546561086291621E-2</v>
      </c>
      <c r="AX23" s="43">
        <v>0.2191746750484547</v>
      </c>
      <c r="AY23" s="43">
        <v>9.2870651458310416E-2</v>
      </c>
      <c r="AZ23" s="43">
        <v>0.10772303843744151</v>
      </c>
    </row>
    <row r="24" spans="1:52" ht="16" x14ac:dyDescent="0.2">
      <c r="A24" s="41">
        <v>40848</v>
      </c>
      <c r="B24" s="44">
        <v>-5.5783792010097873E-2</v>
      </c>
      <c r="C24" s="44">
        <v>1.262317542654845E-2</v>
      </c>
      <c r="D24" s="44">
        <v>-6.7664052412202635E-2</v>
      </c>
      <c r="E24" s="44">
        <v>-1.2987000923330159E-2</v>
      </c>
      <c r="F24" s="44">
        <v>1.6137478904915788E-2</v>
      </c>
      <c r="G24" s="44">
        <v>-9.9386434231758192E-2</v>
      </c>
      <c r="H24" s="44">
        <v>3.6205486003553E-2</v>
      </c>
      <c r="I24" s="44">
        <v>-3.3261839322955573E-2</v>
      </c>
      <c r="J24" s="44">
        <v>2.7554860538793191E-2</v>
      </c>
      <c r="K24" s="44">
        <v>5.9359645108916226E-3</v>
      </c>
      <c r="L24" s="44">
        <v>-1.349042307843173E-2</v>
      </c>
      <c r="M24" s="44">
        <v>2.7809283322653981E-2</v>
      </c>
      <c r="N24" s="44">
        <v>5.9064204661279478E-2</v>
      </c>
      <c r="O24" s="44">
        <v>9.4429688047033666E-2</v>
      </c>
      <c r="P24" s="44">
        <v>0.16001338094380649</v>
      </c>
      <c r="Q24" s="44">
        <v>-0.40362223516954709</v>
      </c>
      <c r="R24" s="44">
        <v>8.7349707528858511E-2</v>
      </c>
      <c r="S24" s="44">
        <v>2.9132427570096819E-2</v>
      </c>
      <c r="T24" s="44">
        <v>-4.7875158174422228E-2</v>
      </c>
      <c r="U24" s="44">
        <v>1.138979505366788E-2</v>
      </c>
      <c r="V24" s="44">
        <v>-0.1215786736202701</v>
      </c>
      <c r="W24" s="44">
        <v>0.104115217866434</v>
      </c>
      <c r="X24" s="44">
        <v>0</v>
      </c>
      <c r="Y24" s="44">
        <v>1.4453109602800661E-2</v>
      </c>
      <c r="Z24" s="44">
        <v>-0.1090332901352811</v>
      </c>
      <c r="AA24" s="44">
        <v>-8.8058976191530691E-3</v>
      </c>
      <c r="AB24" s="44">
        <v>-2.627144641238777E-2</v>
      </c>
      <c r="AC24" s="44">
        <v>3.6494510790508139E-2</v>
      </c>
      <c r="AD24" s="44">
        <v>4.8647196788910392E-2</v>
      </c>
      <c r="AE24" s="44">
        <v>-0.16156512234785331</v>
      </c>
      <c r="AF24" s="44">
        <v>-3.2195958125809547E-2</v>
      </c>
      <c r="AG24" s="44">
        <v>7.1556412438842809E-2</v>
      </c>
      <c r="AH24" s="44">
        <v>-7.036983123247742E-3</v>
      </c>
      <c r="AI24" s="44">
        <v>-0.1008302217646817</v>
      </c>
      <c r="AJ24" s="44">
        <v>5.6080864389631779E-2</v>
      </c>
      <c r="AK24" s="44">
        <v>0.14090826460965489</v>
      </c>
      <c r="AL24" s="44">
        <v>0.1016466119443757</v>
      </c>
      <c r="AM24" s="44">
        <v>9.0638591859755202E-3</v>
      </c>
      <c r="AN24" s="44">
        <v>1.9630091216171989E-2</v>
      </c>
      <c r="AO24" s="44">
        <v>-7.65550271983505E-2</v>
      </c>
      <c r="AP24" s="44">
        <v>-6.5188437334758542E-2</v>
      </c>
      <c r="AQ24" s="44">
        <v>2.24594380039147E-2</v>
      </c>
      <c r="AR24" s="44">
        <v>6.6133391529151098E-2</v>
      </c>
      <c r="AS24" s="44">
        <v>7.4502741514160364E-2</v>
      </c>
      <c r="AT24" s="44">
        <v>5.4286362331037903E-2</v>
      </c>
      <c r="AU24" s="44">
        <v>5.0298730666612952E-2</v>
      </c>
      <c r="AV24" s="44">
        <v>-2.0501333244619779E-2</v>
      </c>
      <c r="AW24" s="44">
        <v>1.625320311557377E-2</v>
      </c>
      <c r="AX24" s="44">
        <v>4.5155733418551058E-2</v>
      </c>
      <c r="AY24" s="44">
        <v>3.8434090608678639E-2</v>
      </c>
      <c r="AZ24" s="44">
        <v>-5.0587151070113912E-3</v>
      </c>
    </row>
    <row r="25" spans="1:52" ht="16" x14ac:dyDescent="0.2">
      <c r="A25" s="39">
        <v>40878</v>
      </c>
      <c r="B25" s="43">
        <v>5.9654770562136417E-2</v>
      </c>
      <c r="C25" s="43">
        <v>3.0797514358801511E-2</v>
      </c>
      <c r="D25" s="43">
        <v>3.0999284431242561E-2</v>
      </c>
      <c r="E25" s="43">
        <v>-6.0526321568317387E-2</v>
      </c>
      <c r="F25" s="43">
        <v>0.10878989286231661</v>
      </c>
      <c r="G25" s="43">
        <v>-9.9797213400262264E-2</v>
      </c>
      <c r="H25" s="43">
        <v>-7.4376358232543405E-2</v>
      </c>
      <c r="I25" s="43">
        <v>5.0858625827290949E-2</v>
      </c>
      <c r="J25" s="43">
        <v>-2.321261408575381E-2</v>
      </c>
      <c r="K25" s="43">
        <v>-3.0042653295860089E-2</v>
      </c>
      <c r="L25" s="43">
        <v>3.4818471638000233E-2</v>
      </c>
      <c r="M25" s="43">
        <v>6.3590892525882792E-2</v>
      </c>
      <c r="N25" s="43">
        <v>1.7599506511987609E-2</v>
      </c>
      <c r="O25" s="43">
        <v>-0.1083256147379488</v>
      </c>
      <c r="P25" s="43">
        <v>-5.0414598010252498E-2</v>
      </c>
      <c r="Q25" s="43">
        <v>2.819948673291162E-2</v>
      </c>
      <c r="R25" s="43">
        <v>-6.1134177716902771E-2</v>
      </c>
      <c r="S25" s="43">
        <v>5.2979435146167653E-3</v>
      </c>
      <c r="T25" s="43">
        <v>0.1366299747024757</v>
      </c>
      <c r="U25" s="43">
        <v>7.7595472128172638E-2</v>
      </c>
      <c r="V25" s="43">
        <v>-5.6645338018805447E-2</v>
      </c>
      <c r="W25" s="43">
        <v>7.1902198424350638E-2</v>
      </c>
      <c r="X25" s="43">
        <v>9.0050815533491146E-2</v>
      </c>
      <c r="Y25" s="43">
        <v>1.328795992782039E-2</v>
      </c>
      <c r="Z25" s="43">
        <v>7.3619650407229287E-2</v>
      </c>
      <c r="AA25" s="43">
        <v>4.0755599075933402E-2</v>
      </c>
      <c r="AB25" s="43">
        <v>-2.8323908289147989E-2</v>
      </c>
      <c r="AC25" s="43">
        <v>5.0355835199601851E-2</v>
      </c>
      <c r="AD25" s="43">
        <v>4.9958273998912173E-2</v>
      </c>
      <c r="AE25" s="43">
        <v>2.2988936470042409E-2</v>
      </c>
      <c r="AF25" s="43">
        <v>1.4854998417662911E-2</v>
      </c>
      <c r="AG25" s="43">
        <v>5.0083533237575313E-2</v>
      </c>
      <c r="AH25" s="43">
        <v>9.8124114557472275E-2</v>
      </c>
      <c r="AI25" s="43">
        <v>-1.520441195492717E-2</v>
      </c>
      <c r="AJ25" s="43">
        <v>-0.1132436617611441</v>
      </c>
      <c r="AK25" s="43">
        <v>-3.0067165003127339E-2</v>
      </c>
      <c r="AL25" s="43">
        <v>4.2448251724470198E-2</v>
      </c>
      <c r="AM25" s="43">
        <v>3.3142088289696232E-2</v>
      </c>
      <c r="AN25" s="43">
        <v>-7.8883689988846095E-2</v>
      </c>
      <c r="AO25" s="43">
        <v>5.0086349527404213E-2</v>
      </c>
      <c r="AP25" s="43">
        <v>3.8459439848830053E-2</v>
      </c>
      <c r="AQ25" s="43">
        <v>1.836520019711041E-2</v>
      </c>
      <c r="AR25" s="43">
        <v>-1.824993463907965E-3</v>
      </c>
      <c r="AS25" s="43">
        <v>-6.7149206800164785E-2</v>
      </c>
      <c r="AT25" s="43">
        <v>2.8100939842068628E-2</v>
      </c>
      <c r="AU25" s="43">
        <v>4.6191546653592042E-2</v>
      </c>
      <c r="AV25" s="43">
        <v>-3.2890063703990391E-2</v>
      </c>
      <c r="AW25" s="43">
        <v>4.2687377823660062E-2</v>
      </c>
      <c r="AX25" s="43">
        <v>2.4465662955506669E-2</v>
      </c>
      <c r="AY25" s="43">
        <v>2.094083422201853E-2</v>
      </c>
      <c r="AZ25" s="43">
        <v>8.5327636666361339E-3</v>
      </c>
    </row>
    <row r="26" spans="1:52" ht="16" x14ac:dyDescent="0.2">
      <c r="A26" s="41">
        <v>40909</v>
      </c>
      <c r="B26" s="44">
        <v>0.12711146906506321</v>
      </c>
      <c r="C26" s="44">
        <v>-2.868175668221629E-2</v>
      </c>
      <c r="D26" s="44">
        <v>9.4800150752731405E-2</v>
      </c>
      <c r="E26" s="44">
        <v>2.2409009417533991E-2</v>
      </c>
      <c r="F26" s="44">
        <v>5.7934499495855267E-2</v>
      </c>
      <c r="G26" s="44">
        <v>0.1232813890258584</v>
      </c>
      <c r="H26" s="44">
        <v>0.20979851308501149</v>
      </c>
      <c r="I26" s="44">
        <v>0.12104597694563959</v>
      </c>
      <c r="J26" s="44">
        <v>-1.260172797661463E-2</v>
      </c>
      <c r="K26" s="44">
        <v>9.0455227041642772E-2</v>
      </c>
      <c r="L26" s="44">
        <v>-3.0826852124672621E-2</v>
      </c>
      <c r="M26" s="44">
        <v>3.7332944599854478E-2</v>
      </c>
      <c r="N26" s="44">
        <v>4.5493320547493221E-2</v>
      </c>
      <c r="O26" s="44">
        <v>0.1028119417760445</v>
      </c>
      <c r="P26" s="44">
        <v>7.9127419178356861E-2</v>
      </c>
      <c r="Q26" s="44">
        <v>0.12236295960967759</v>
      </c>
      <c r="R26" s="44">
        <v>0.12834522017222791</v>
      </c>
      <c r="S26" s="44">
        <v>4.8305565591390882E-2</v>
      </c>
      <c r="T26" s="44">
        <v>4.4667561381680931E-2</v>
      </c>
      <c r="U26" s="44">
        <v>-0.1018578158289888</v>
      </c>
      <c r="V26" s="44">
        <v>0.23266595771333229</v>
      </c>
      <c r="W26" s="44">
        <v>5.5898816770853621E-2</v>
      </c>
      <c r="X26" s="44">
        <v>0.179213890275737</v>
      </c>
      <c r="Y26" s="44">
        <v>5.0320155865193339E-3</v>
      </c>
      <c r="Z26" s="44">
        <v>0.12987954476241551</v>
      </c>
      <c r="AA26" s="44">
        <v>-3.4872222212287578E-2</v>
      </c>
      <c r="AB26" s="44">
        <v>0.113681836906766</v>
      </c>
      <c r="AC26" s="44">
        <v>-1.2758188267773529E-2</v>
      </c>
      <c r="AD26" s="44">
        <v>1.4739203873607391E-2</v>
      </c>
      <c r="AE26" s="44">
        <v>0.2360462310882403</v>
      </c>
      <c r="AF26" s="44">
        <v>0.1375194767136676</v>
      </c>
      <c r="AG26" s="44">
        <v>0.2082670618222533</v>
      </c>
      <c r="AH26" s="44">
        <v>-1.691896722044384E-2</v>
      </c>
      <c r="AI26" s="44">
        <v>4.0528977040551917E-2</v>
      </c>
      <c r="AJ26" s="44">
        <v>6.5656737854043135E-2</v>
      </c>
      <c r="AK26" s="44">
        <v>5.3327175236813178E-2</v>
      </c>
      <c r="AL26" s="44">
        <v>-3.4025402096403028E-2</v>
      </c>
      <c r="AM26" s="44">
        <v>-4.74666549676519E-2</v>
      </c>
      <c r="AN26" s="44">
        <v>5.8098384200893971E-2</v>
      </c>
      <c r="AO26" s="44">
        <v>0.12828950980198409</v>
      </c>
      <c r="AP26" s="44">
        <v>0.1091288263261376</v>
      </c>
      <c r="AQ26" s="44">
        <v>8.4865207252415864E-3</v>
      </c>
      <c r="AR26" s="44">
        <v>7.5319847661347694E-2</v>
      </c>
      <c r="AS26" s="44">
        <v>0.63918486959284815</v>
      </c>
      <c r="AT26" s="44">
        <v>9.2528274626353824E-2</v>
      </c>
      <c r="AU26" s="44">
        <v>5.5615782233595423E-2</v>
      </c>
      <c r="AV26" s="44">
        <v>0.11820698233077651</v>
      </c>
      <c r="AW26" s="44">
        <v>2.190222627080796E-2</v>
      </c>
      <c r="AX26" s="44">
        <v>7.9006721356789544E-2</v>
      </c>
      <c r="AY26" s="44">
        <v>2.677335891519372E-2</v>
      </c>
      <c r="AZ26" s="44">
        <v>4.3583062704985347E-2</v>
      </c>
    </row>
    <row r="27" spans="1:52" ht="16" x14ac:dyDescent="0.2">
      <c r="A27" s="39">
        <v>40940</v>
      </c>
      <c r="B27" s="43">
        <v>0.18831069362778979</v>
      </c>
      <c r="C27" s="43">
        <v>4.5429352067547953E-2</v>
      </c>
      <c r="D27" s="43">
        <v>6.2681698833171096E-2</v>
      </c>
      <c r="E27" s="43">
        <v>-1.3698682035193199E-2</v>
      </c>
      <c r="F27" s="43">
        <v>6.5575141104052834E-3</v>
      </c>
      <c r="G27" s="43">
        <v>-7.5858895440726659E-2</v>
      </c>
      <c r="H27" s="43">
        <v>4.6646062459736237E-2</v>
      </c>
      <c r="I27" s="43">
        <v>0.1064710572833354</v>
      </c>
      <c r="J27" s="43">
        <v>4.9045629014680348E-2</v>
      </c>
      <c r="K27" s="43">
        <v>1.170455264329506E-2</v>
      </c>
      <c r="L27" s="43">
        <v>6.6295016748654012E-2</v>
      </c>
      <c r="M27" s="43">
        <v>7.9434866753032241E-2</v>
      </c>
      <c r="N27" s="43">
        <v>-7.2795291017799801E-3</v>
      </c>
      <c r="O27" s="43">
        <v>-1.317855511585087E-2</v>
      </c>
      <c r="P27" s="43">
        <v>7.27341874571934E-2</v>
      </c>
      <c r="Q27" s="43">
        <v>6.7669106214487629E-2</v>
      </c>
      <c r="R27" s="43">
        <v>4.3594465624110068E-2</v>
      </c>
      <c r="S27" s="43">
        <v>5.8848856106209928E-2</v>
      </c>
      <c r="T27" s="43">
        <v>2.7178158587881421E-2</v>
      </c>
      <c r="U27" s="43">
        <v>6.5745993825043314E-2</v>
      </c>
      <c r="V27" s="43">
        <v>3.6043257891483993E-2</v>
      </c>
      <c r="W27" s="43">
        <v>7.1638335910031214E-2</v>
      </c>
      <c r="X27" s="43">
        <v>-4.1808002631063428E-2</v>
      </c>
      <c r="Y27" s="43">
        <v>-3.8709804174035241E-3</v>
      </c>
      <c r="Z27" s="43">
        <v>5.201105912223869E-2</v>
      </c>
      <c r="AA27" s="43">
        <v>3.4503234176393123E-2</v>
      </c>
      <c r="AB27" s="43">
        <v>7.4554502157800906E-2</v>
      </c>
      <c r="AC27" s="43">
        <v>9.3627416475225989E-3</v>
      </c>
      <c r="AD27" s="43">
        <v>-1.166650858389451E-2</v>
      </c>
      <c r="AE27" s="43">
        <v>-5.8983205422581397E-3</v>
      </c>
      <c r="AF27" s="43">
        <v>8.1915393624290456E-2</v>
      </c>
      <c r="AG27" s="43">
        <v>0.1249997828476401</v>
      </c>
      <c r="AH27" s="43">
        <v>4.2824928088069916E-3</v>
      </c>
      <c r="AI27" s="43">
        <v>0.13937435304630161</v>
      </c>
      <c r="AJ27" s="43">
        <v>2.5727503539220601E-2</v>
      </c>
      <c r="AK27" s="43">
        <v>0.1199373321010513</v>
      </c>
      <c r="AL27" s="43">
        <v>-6.2525013816597808E-3</v>
      </c>
      <c r="AM27" s="43">
        <v>7.2652037691183446E-2</v>
      </c>
      <c r="AN27" s="43">
        <v>0.1181324376345438</v>
      </c>
      <c r="AO27" s="43">
        <v>2.1865902689215622E-2</v>
      </c>
      <c r="AP27" s="43">
        <v>6.1494419326247003E-2</v>
      </c>
      <c r="AQ27" s="43">
        <v>0.1227210381902846</v>
      </c>
      <c r="AR27" s="43">
        <v>6.0761969664596238E-2</v>
      </c>
      <c r="AS27" s="43">
        <v>0.1533125894758969</v>
      </c>
      <c r="AT27" s="43">
        <v>6.1765247490213733E-2</v>
      </c>
      <c r="AU27" s="43">
        <v>7.7534819759258689E-2</v>
      </c>
      <c r="AV27" s="43">
        <v>2.9956903320363711E-2</v>
      </c>
      <c r="AW27" s="43">
        <v>7.6462498898804965E-2</v>
      </c>
      <c r="AX27" s="43">
        <v>-3.0351191634075621E-2</v>
      </c>
      <c r="AY27" s="43">
        <v>-3.7157191258155642E-2</v>
      </c>
      <c r="AZ27" s="43">
        <v>4.0589463768117229E-2</v>
      </c>
    </row>
    <row r="28" spans="1:52" ht="16" x14ac:dyDescent="0.2">
      <c r="A28" s="41">
        <v>40969</v>
      </c>
      <c r="B28" s="44">
        <v>0.10528305063186071</v>
      </c>
      <c r="C28" s="44">
        <v>8.2670942295892891E-2</v>
      </c>
      <c r="D28" s="44">
        <v>4.3174278199880289E-2</v>
      </c>
      <c r="E28" s="44">
        <v>0.37499998344315388</v>
      </c>
      <c r="F28" s="44">
        <v>-5.8863629970729026E-4</v>
      </c>
      <c r="G28" s="44">
        <v>0.12699647200473069</v>
      </c>
      <c r="H28" s="44">
        <v>-6.733246601704157E-2</v>
      </c>
      <c r="I28" s="44">
        <v>2.0400965447455951E-2</v>
      </c>
      <c r="J28" s="44">
        <v>5.5077629606328449E-2</v>
      </c>
      <c r="K28" s="44">
        <v>6.3883157257569989E-2</v>
      </c>
      <c r="L28" s="44">
        <v>-1.750384218112588E-2</v>
      </c>
      <c r="M28" s="44">
        <v>4.2628908444425129E-2</v>
      </c>
      <c r="N28" s="44">
        <v>3.210076076274504E-2</v>
      </c>
      <c r="O28" s="44">
        <v>3.7169597381143449E-2</v>
      </c>
      <c r="P28" s="44">
        <v>-2.4240217227812111E-2</v>
      </c>
      <c r="Q28" s="44">
        <v>-8.8028171674478406E-2</v>
      </c>
      <c r="R28" s="44">
        <v>8.0025669835629198E-2</v>
      </c>
      <c r="S28" s="44">
        <v>2.0483669203084092E-3</v>
      </c>
      <c r="T28" s="44">
        <v>5.3543287388900802E-2</v>
      </c>
      <c r="U28" s="44">
        <v>3.7185739654521648E-2</v>
      </c>
      <c r="V28" s="44">
        <v>8.0163874526109513E-2</v>
      </c>
      <c r="W28" s="44">
        <v>6.4111233463621131E-2</v>
      </c>
      <c r="X28" s="44">
        <v>0.13797171455806409</v>
      </c>
      <c r="Y28" s="44">
        <v>1.3521571329049079E-2</v>
      </c>
      <c r="Z28" s="44">
        <v>0.17176348099834221</v>
      </c>
      <c r="AA28" s="44">
        <v>6.7163013080585809E-2</v>
      </c>
      <c r="AB28" s="44">
        <v>1.0367245925458899E-2</v>
      </c>
      <c r="AC28" s="44">
        <v>-1.1885959544717609E-2</v>
      </c>
      <c r="AD28" s="44">
        <v>2.8068983724464761E-2</v>
      </c>
      <c r="AE28" s="44">
        <v>5.9331430681533348E-2</v>
      </c>
      <c r="AF28" s="44">
        <v>1.6382729327218959E-2</v>
      </c>
      <c r="AG28" s="44">
        <v>-5.2631422420794223E-2</v>
      </c>
      <c r="AH28" s="44">
        <v>2.638265705486997E-2</v>
      </c>
      <c r="AI28" s="44">
        <v>4.1162676361252697E-2</v>
      </c>
      <c r="AJ28" s="44">
        <v>1.650192071141721E-2</v>
      </c>
      <c r="AK28" s="44">
        <v>-7.0022779820192449E-3</v>
      </c>
      <c r="AL28" s="44">
        <v>-1.185927091343919E-2</v>
      </c>
      <c r="AM28" s="44">
        <v>-6.062978198117519E-3</v>
      </c>
      <c r="AN28" s="44">
        <v>-5.8568358026218632E-2</v>
      </c>
      <c r="AO28" s="44">
        <v>-5.1355224216851132E-2</v>
      </c>
      <c r="AP28" s="44">
        <v>7.8944363222722691E-2</v>
      </c>
      <c r="AQ28" s="44">
        <v>-1.56166617159359E-3</v>
      </c>
      <c r="AR28" s="44">
        <v>9.4564277986197709E-2</v>
      </c>
      <c r="AS28" s="44">
        <v>0.1128924483296088</v>
      </c>
      <c r="AT28" s="44">
        <v>5.3514709469208332E-2</v>
      </c>
      <c r="AU28" s="44">
        <v>8.4676613470269446E-2</v>
      </c>
      <c r="AV28" s="44">
        <v>7.7959617766718559E-3</v>
      </c>
      <c r="AW28" s="44">
        <v>6.0319674700666903E-2</v>
      </c>
      <c r="AX28" s="44">
        <v>-2.5124714453059419E-2</v>
      </c>
      <c r="AY28" s="44">
        <v>4.2817024962159562E-2</v>
      </c>
      <c r="AZ28" s="44">
        <v>3.1332314531441918E-2</v>
      </c>
    </row>
    <row r="29" spans="1:52" ht="16" x14ac:dyDescent="0.2">
      <c r="A29" s="39">
        <v>41000</v>
      </c>
      <c r="B29" s="43">
        <v>-2.596945509529713E-2</v>
      </c>
      <c r="C29" s="43">
        <v>2.122341364907121E-2</v>
      </c>
      <c r="D29" s="43">
        <v>-2.215103776772509E-2</v>
      </c>
      <c r="E29" s="43">
        <v>-6.6666653822567645E-2</v>
      </c>
      <c r="F29" s="43">
        <v>4.6197375942093499E-2</v>
      </c>
      <c r="G29" s="43">
        <v>0.14512869305691559</v>
      </c>
      <c r="H29" s="43">
        <v>-3.1123756696776032E-2</v>
      </c>
      <c r="I29" s="43">
        <v>1.685277028400467E-2</v>
      </c>
      <c r="J29" s="43">
        <v>-2.885457847566408E-2</v>
      </c>
      <c r="K29" s="43">
        <v>-4.319622257875011E-2</v>
      </c>
      <c r="L29" s="43">
        <v>-6.0632900386149444E-3</v>
      </c>
      <c r="M29" s="43">
        <v>-1.5303825640234031E-2</v>
      </c>
      <c r="N29" s="43">
        <v>3.1918227578704661E-2</v>
      </c>
      <c r="O29" s="43">
        <v>6.8990352579949574E-3</v>
      </c>
      <c r="P29" s="43">
        <v>-9.9761190522574816E-3</v>
      </c>
      <c r="Q29" s="43">
        <v>-7.3359005829472523E-2</v>
      </c>
      <c r="R29" s="43">
        <v>-7.6319945676180936E-3</v>
      </c>
      <c r="S29" s="43">
        <v>-7.332895286244645E-2</v>
      </c>
      <c r="T29" s="43">
        <v>-2.441459273036806E-2</v>
      </c>
      <c r="U29" s="43">
        <v>-5.6749477529979393E-2</v>
      </c>
      <c r="V29" s="43">
        <v>-7.4134206801147351E-2</v>
      </c>
      <c r="W29" s="43">
        <v>2.9417359605917511E-2</v>
      </c>
      <c r="X29" s="43">
        <v>0.17409330275514059</v>
      </c>
      <c r="Y29" s="43">
        <v>-1.303798090781449E-2</v>
      </c>
      <c r="Z29" s="43">
        <v>-5.9127104827422998E-2</v>
      </c>
      <c r="AA29" s="43">
        <v>3.1211755735086388E-2</v>
      </c>
      <c r="AB29" s="43">
        <v>7.8470312797755959E-3</v>
      </c>
      <c r="AC29" s="43">
        <v>-6.6255955892453589E-3</v>
      </c>
      <c r="AD29" s="43">
        <v>-1.9233796335497041E-2</v>
      </c>
      <c r="AE29" s="43">
        <v>-0.1175888543893617</v>
      </c>
      <c r="AF29" s="43">
        <v>-7.4392603806042734E-3</v>
      </c>
      <c r="AG29" s="43">
        <v>-0.18641960790090281</v>
      </c>
      <c r="AH29" s="43">
        <v>5.3535768354206148E-2</v>
      </c>
      <c r="AI29" s="43">
        <v>-0.1326782167768624</v>
      </c>
      <c r="AJ29" s="43">
        <v>-0.15584423488827831</v>
      </c>
      <c r="AK29" s="43">
        <v>-4.1937102932345323E-2</v>
      </c>
      <c r="AL29" s="43">
        <v>5.9461311402506212E-2</v>
      </c>
      <c r="AM29" s="43">
        <v>-4.5107741557949832E-2</v>
      </c>
      <c r="AN29" s="43">
        <v>3.7138135566521679E-2</v>
      </c>
      <c r="AO29" s="43">
        <v>-6.9172937075207108E-2</v>
      </c>
      <c r="AP29" s="43">
        <v>-7.2184185368852072E-3</v>
      </c>
      <c r="AQ29" s="43">
        <v>-7.2255206091891067E-2</v>
      </c>
      <c r="AR29" s="43">
        <v>-6.2151023102201892E-2</v>
      </c>
      <c r="AS29" s="43">
        <v>0.15983524225967891</v>
      </c>
      <c r="AT29" s="43">
        <v>0.10683725339254239</v>
      </c>
      <c r="AU29" s="43">
        <v>5.0364810462873111E-2</v>
      </c>
      <c r="AV29" s="43">
        <v>-4.4607242732679242E-2</v>
      </c>
      <c r="AW29" s="43">
        <v>-4.7336298425233007E-2</v>
      </c>
      <c r="AX29" s="43">
        <v>4.6148435361488493E-2</v>
      </c>
      <c r="AY29" s="43">
        <v>-3.7418478023245938E-2</v>
      </c>
      <c r="AZ29" s="43">
        <v>-7.4974523724959941E-3</v>
      </c>
    </row>
    <row r="30" spans="1:52" ht="16" x14ac:dyDescent="0.2">
      <c r="A30" s="41">
        <v>41030</v>
      </c>
      <c r="B30" s="44">
        <v>-1.070265361600309E-2</v>
      </c>
      <c r="C30" s="44">
        <v>-4.3507159169100529E-3</v>
      </c>
      <c r="D30" s="44">
        <v>-7.4515649980653631E-2</v>
      </c>
      <c r="E30" s="44">
        <v>-0.13636361290647531</v>
      </c>
      <c r="F30" s="44">
        <v>-1.736202324758496E-2</v>
      </c>
      <c r="G30" s="44">
        <v>-8.188875050079214E-2</v>
      </c>
      <c r="H30" s="44">
        <v>-0.14741658930006729</v>
      </c>
      <c r="I30" s="44">
        <v>-4.744633083082761E-2</v>
      </c>
      <c r="J30" s="44">
        <v>-1.7057192614585489E-2</v>
      </c>
      <c r="K30" s="44">
        <v>-0.18997991062098871</v>
      </c>
      <c r="L30" s="44">
        <v>-6.9117682005812253E-2</v>
      </c>
      <c r="M30" s="44">
        <v>6.0310790641786571E-2</v>
      </c>
      <c r="N30" s="44">
        <v>-7.5366931509738277E-3</v>
      </c>
      <c r="O30" s="44">
        <v>-0.1025180643842193</v>
      </c>
      <c r="P30" s="44">
        <v>-9.5711193380272563E-2</v>
      </c>
      <c r="Q30" s="44">
        <v>-3.5416681153906171E-2</v>
      </c>
      <c r="R30" s="44">
        <v>-0.22735750753426251</v>
      </c>
      <c r="S30" s="44">
        <v>-5.1703593896230693E-2</v>
      </c>
      <c r="T30" s="44">
        <v>-2.5025477216538809E-2</v>
      </c>
      <c r="U30" s="44">
        <v>-3.9662715632730938E-2</v>
      </c>
      <c r="V30" s="44">
        <v>-0.1649376020344637</v>
      </c>
      <c r="W30" s="44">
        <v>-4.168569428110902E-2</v>
      </c>
      <c r="X30" s="44">
        <v>-5.9576363219786321E-2</v>
      </c>
      <c r="Y30" s="44">
        <v>-3.1678162829751437E-2</v>
      </c>
      <c r="Z30" s="44">
        <v>-0.2287110963157809</v>
      </c>
      <c r="AA30" s="44">
        <v>-2.0832929681499749E-2</v>
      </c>
      <c r="AB30" s="44">
        <v>-0.16556554216369551</v>
      </c>
      <c r="AC30" s="44">
        <v>-7.604490137125719E-2</v>
      </c>
      <c r="AD30" s="44">
        <v>-3.5602107060157429E-2</v>
      </c>
      <c r="AE30" s="44">
        <v>-0.2268518496964235</v>
      </c>
      <c r="AF30" s="44">
        <v>-8.2400559177828514E-2</v>
      </c>
      <c r="AG30" s="44">
        <v>-0.11380884411407489</v>
      </c>
      <c r="AH30" s="44">
        <v>2.481982682498618E-2</v>
      </c>
      <c r="AI30" s="44">
        <v>-0.2335820429717099</v>
      </c>
      <c r="AJ30" s="44">
        <v>-4.3846060023188249E-2</v>
      </c>
      <c r="AK30" s="44">
        <v>-0.10146161578589</v>
      </c>
      <c r="AL30" s="44">
        <v>-3.3764158336896062E-2</v>
      </c>
      <c r="AM30" s="44">
        <v>-2.1213060652131351E-2</v>
      </c>
      <c r="AN30" s="44">
        <v>-6.3318856157685621E-2</v>
      </c>
      <c r="AO30" s="44">
        <v>-3.0694677780952358E-2</v>
      </c>
      <c r="AP30" s="44">
        <v>-0.1057045883293679</v>
      </c>
      <c r="AQ30" s="44">
        <v>5.9676452749588098E-2</v>
      </c>
      <c r="AR30" s="44">
        <v>-9.8285409653833811E-2</v>
      </c>
      <c r="AS30" s="44">
        <v>2.8835525111856608E-3</v>
      </c>
      <c r="AT30" s="44">
        <v>8.1379369239763744E-2</v>
      </c>
      <c r="AU30" s="44">
        <v>2.0810951204671468E-2</v>
      </c>
      <c r="AV30" s="44">
        <v>-0.1083280660245608</v>
      </c>
      <c r="AW30" s="44">
        <v>-6.7677079675995122E-3</v>
      </c>
      <c r="AX30" s="44">
        <v>-3.9076039395198334E-3</v>
      </c>
      <c r="AY30" s="44">
        <v>0.1248795099022388</v>
      </c>
      <c r="AZ30" s="44">
        <v>-6.2650725714543665E-2</v>
      </c>
    </row>
    <row r="31" spans="1:52" ht="16" x14ac:dyDescent="0.2">
      <c r="A31" s="39">
        <v>41061</v>
      </c>
      <c r="B31" s="43">
        <v>1.085298887403896E-2</v>
      </c>
      <c r="C31" s="43">
        <v>4.3372567388042738E-2</v>
      </c>
      <c r="D31" s="43">
        <v>4.2512068510736079E-2</v>
      </c>
      <c r="E31" s="43">
        <v>0.23057639991890189</v>
      </c>
      <c r="F31" s="43">
        <v>4.8762717723488613E-2</v>
      </c>
      <c r="G31" s="43">
        <v>7.2518843253230214E-2</v>
      </c>
      <c r="H31" s="43">
        <v>-3.0929055993899061E-2</v>
      </c>
      <c r="I31" s="43">
        <v>0.1116830586706037</v>
      </c>
      <c r="J31" s="43">
        <v>9.9663941688912683E-2</v>
      </c>
      <c r="K31" s="43">
        <v>5.1439027358819667E-2</v>
      </c>
      <c r="L31" s="43">
        <v>7.3136063821321651E-2</v>
      </c>
      <c r="M31" s="43">
        <v>6.1036994509615188E-2</v>
      </c>
      <c r="N31" s="43">
        <v>8.7416643784533621E-2</v>
      </c>
      <c r="O31" s="43">
        <v>-4.0629446356394983E-3</v>
      </c>
      <c r="P31" s="43">
        <v>-9.2547584678175254E-2</v>
      </c>
      <c r="Q31" s="43">
        <v>0.19438446503712631</v>
      </c>
      <c r="R31" s="43">
        <v>-3.788177107821078E-2</v>
      </c>
      <c r="S31" s="43">
        <v>3.0463774601495301E-2</v>
      </c>
      <c r="T31" s="43">
        <v>0.1040619564078213</v>
      </c>
      <c r="U31" s="43">
        <v>-1.3602044075206039E-3</v>
      </c>
      <c r="V31" s="43">
        <v>1.672104294160315E-3</v>
      </c>
      <c r="W31" s="43">
        <v>7.3977011712058838E-2</v>
      </c>
      <c r="X31" s="43">
        <v>6.5227655177493959E-2</v>
      </c>
      <c r="Y31" s="43">
        <v>8.217235618871821E-2</v>
      </c>
      <c r="Z31" s="43">
        <v>7.78281124611655E-2</v>
      </c>
      <c r="AA31" s="43">
        <v>5.344411284078654E-2</v>
      </c>
      <c r="AB31" s="43">
        <v>0.16621723513867481</v>
      </c>
      <c r="AC31" s="43">
        <v>-9.066078905269892E-3</v>
      </c>
      <c r="AD31" s="43">
        <v>5.1302683676376797E-2</v>
      </c>
      <c r="AE31" s="43">
        <v>9.206583768883414E-2</v>
      </c>
      <c r="AF31" s="43">
        <v>4.7961450249720088E-2</v>
      </c>
      <c r="AG31" s="43">
        <v>8.0479432698937758E-2</v>
      </c>
      <c r="AH31" s="43">
        <v>5.3106743183669591E-2</v>
      </c>
      <c r="AI31" s="43">
        <v>6.9220804991690477E-2</v>
      </c>
      <c r="AJ31" s="43">
        <v>0.11182624119417391</v>
      </c>
      <c r="AK31" s="43">
        <v>3.5482465293259491E-2</v>
      </c>
      <c r="AL31" s="43">
        <v>1.964072591139332E-2</v>
      </c>
      <c r="AM31" s="43">
        <v>-1.6696030557475039E-2</v>
      </c>
      <c r="AN31" s="43">
        <v>-5.9456873685194922E-2</v>
      </c>
      <c r="AO31" s="43">
        <v>1.666665077209473E-2</v>
      </c>
      <c r="AP31" s="43">
        <v>4.8258994927197429E-2</v>
      </c>
      <c r="AQ31" s="43">
        <v>2.9271270314507269E-2</v>
      </c>
      <c r="AR31" s="43">
        <v>-2.844208174656138E-2</v>
      </c>
      <c r="AS31" s="43">
        <v>-0.15798013387532051</v>
      </c>
      <c r="AT31" s="43">
        <v>2.090353403520373E-2</v>
      </c>
      <c r="AU31" s="43">
        <v>1.106894771952738E-2</v>
      </c>
      <c r="AV31" s="43">
        <v>7.3736008750688864E-3</v>
      </c>
      <c r="AW31" s="43">
        <v>5.2827944342957789E-2</v>
      </c>
      <c r="AX31" s="43">
        <v>7.1005324614666021E-2</v>
      </c>
      <c r="AY31" s="43">
        <v>5.9252643213867577E-2</v>
      </c>
      <c r="AZ31" s="43">
        <v>3.9554982228336311E-2</v>
      </c>
    </row>
    <row r="32" spans="1:52" ht="16" x14ac:dyDescent="0.2">
      <c r="A32" s="41">
        <v>41091</v>
      </c>
      <c r="B32" s="44">
        <v>4.5821537903799607E-2</v>
      </c>
      <c r="C32" s="44">
        <v>3.6590826592120429E-2</v>
      </c>
      <c r="D32" s="44">
        <v>-4.6030269394000463E-2</v>
      </c>
      <c r="E32" s="44">
        <v>-9.7759681057113967E-2</v>
      </c>
      <c r="F32" s="44">
        <v>0.13290383062821109</v>
      </c>
      <c r="G32" s="44">
        <v>2.167728745695419E-2</v>
      </c>
      <c r="H32" s="44">
        <v>-1.9075699154671439E-3</v>
      </c>
      <c r="I32" s="44">
        <v>1.814242702619473E-2</v>
      </c>
      <c r="J32" s="44">
        <v>1.2420693980757619E-2</v>
      </c>
      <c r="K32" s="44">
        <v>-6.6705643634108358E-2</v>
      </c>
      <c r="L32" s="44">
        <v>3.8673347355866687E-2</v>
      </c>
      <c r="M32" s="44">
        <v>1.3195994168657689E-2</v>
      </c>
      <c r="N32" s="44">
        <v>-4.4943734138064177E-2</v>
      </c>
      <c r="O32" s="44">
        <v>2.5547699544195671E-2</v>
      </c>
      <c r="P32" s="44">
        <v>8.9705454070960755E-2</v>
      </c>
      <c r="Q32" s="44">
        <v>0.1301988721292657</v>
      </c>
      <c r="R32" s="44">
        <v>-6.2073126323036409E-2</v>
      </c>
      <c r="S32" s="44">
        <v>-3.0721789098793969E-2</v>
      </c>
      <c r="T32" s="44">
        <v>-4.3186549872999969E-3</v>
      </c>
      <c r="U32" s="44">
        <v>9.1196078718768447E-2</v>
      </c>
      <c r="V32" s="44">
        <v>5.2576655708735487E-2</v>
      </c>
      <c r="W32" s="44">
        <v>-1.5285808161994759E-2</v>
      </c>
      <c r="X32" s="44">
        <v>0.1008810101855775</v>
      </c>
      <c r="Y32" s="44">
        <v>2.4570517428700759E-2</v>
      </c>
      <c r="Z32" s="44">
        <v>1.5957618074385449E-2</v>
      </c>
      <c r="AA32" s="44">
        <v>3.3380415165133348E-2</v>
      </c>
      <c r="AB32" s="44">
        <v>9.2449936751511252E-2</v>
      </c>
      <c r="AC32" s="44">
        <v>9.3749537450087406E-3</v>
      </c>
      <c r="AD32" s="44">
        <v>2.4616926597388341E-2</v>
      </c>
      <c r="AE32" s="44">
        <v>-6.0127195927348283E-2</v>
      </c>
      <c r="AF32" s="44">
        <v>-3.6613472990062228E-2</v>
      </c>
      <c r="AG32" s="44">
        <v>-1.5848007055165762E-2</v>
      </c>
      <c r="AH32" s="44">
        <v>3.0373787612518081E-2</v>
      </c>
      <c r="AI32" s="44">
        <v>2.6712092654469281E-2</v>
      </c>
      <c r="AJ32" s="44">
        <v>-2.0260520804230131E-2</v>
      </c>
      <c r="AK32" s="44">
        <v>8.0025246075099199E-2</v>
      </c>
      <c r="AL32" s="44">
        <v>5.1997389685137563E-2</v>
      </c>
      <c r="AM32" s="44">
        <v>6.285427648753994E-2</v>
      </c>
      <c r="AN32" s="44">
        <v>4.4744885469049311E-2</v>
      </c>
      <c r="AO32" s="44">
        <v>-4.0983607198115002E-2</v>
      </c>
      <c r="AP32" s="44">
        <v>-2.708370678716188E-2</v>
      </c>
      <c r="AQ32" s="44">
        <v>5.0386383065164519E-2</v>
      </c>
      <c r="AR32" s="44">
        <v>7.1839135552607791E-2</v>
      </c>
      <c r="AS32" s="44">
        <v>0.1788653117603585</v>
      </c>
      <c r="AT32" s="44">
        <v>1.511201018138242E-2</v>
      </c>
      <c r="AU32" s="44">
        <v>3.1446472742407083E-2</v>
      </c>
      <c r="AV32" s="44">
        <v>-4.4535462905461183E-2</v>
      </c>
      <c r="AW32" s="44">
        <v>-0.12666662946038371</v>
      </c>
      <c r="AX32" s="44">
        <v>2.765869186450165E-2</v>
      </c>
      <c r="AY32" s="44">
        <v>6.7555817794384909E-2</v>
      </c>
      <c r="AZ32" s="44">
        <v>1.2597574204787911E-2</v>
      </c>
    </row>
    <row r="33" spans="1:52" ht="16" x14ac:dyDescent="0.2">
      <c r="A33" s="39">
        <v>41122</v>
      </c>
      <c r="B33" s="43">
        <v>9.3877179826597379E-2</v>
      </c>
      <c r="C33" s="43">
        <v>-1.1612164653584171E-2</v>
      </c>
      <c r="D33" s="43">
        <v>1.262957602319403E-2</v>
      </c>
      <c r="E33" s="43">
        <v>9.9322815862381564E-2</v>
      </c>
      <c r="F33" s="43">
        <v>2.0447901178643368E-2</v>
      </c>
      <c r="G33" s="43">
        <v>6.4166298563912871E-2</v>
      </c>
      <c r="H33" s="43">
        <v>1.3300124647843029E-2</v>
      </c>
      <c r="I33" s="43">
        <v>3.0107205542018619E-2</v>
      </c>
      <c r="J33" s="43">
        <v>2.0501235874284429E-2</v>
      </c>
      <c r="K33" s="43">
        <v>0.19623764978463679</v>
      </c>
      <c r="L33" s="43">
        <v>3.1738400424109033E-2</v>
      </c>
      <c r="M33" s="43">
        <v>6.7155505545111183E-3</v>
      </c>
      <c r="N33" s="43">
        <v>-2.169573365870181E-2</v>
      </c>
      <c r="O33" s="43">
        <v>7.0015702977739069E-2</v>
      </c>
      <c r="P33" s="43">
        <v>0.104989447173206</v>
      </c>
      <c r="Q33" s="43">
        <v>-0.2912000274658203</v>
      </c>
      <c r="R33" s="43">
        <v>4.4013715262784858E-2</v>
      </c>
      <c r="S33" s="43">
        <v>3.262915063674976E-2</v>
      </c>
      <c r="T33" s="43">
        <v>-1.9277056544009239E-3</v>
      </c>
      <c r="U33" s="43">
        <v>8.2341998046918885E-2</v>
      </c>
      <c r="V33" s="43">
        <v>5.2375394272855542E-2</v>
      </c>
      <c r="W33" s="43">
        <v>9.3175400505179029E-2</v>
      </c>
      <c r="X33" s="43">
        <v>-0.19927969539206999</v>
      </c>
      <c r="Y33" s="43">
        <v>-1.7007458610508119E-2</v>
      </c>
      <c r="Z33" s="43">
        <v>3.1666790127986788E-2</v>
      </c>
      <c r="AA33" s="43">
        <v>-7.4257332158572886E-2</v>
      </c>
      <c r="AB33" s="43">
        <v>-7.6660868067231935E-2</v>
      </c>
      <c r="AC33" s="43">
        <v>9.3360534967128483E-3</v>
      </c>
      <c r="AD33" s="43">
        <v>3.1456193830110779E-2</v>
      </c>
      <c r="AE33" s="43">
        <v>9.8096571086169426E-2</v>
      </c>
      <c r="AF33" s="43">
        <v>5.2737638262952302E-2</v>
      </c>
      <c r="AG33" s="43">
        <v>0</v>
      </c>
      <c r="AH33" s="43">
        <v>-4.2232074858861379E-2</v>
      </c>
      <c r="AI33" s="43">
        <v>5.6627290950573173E-2</v>
      </c>
      <c r="AJ33" s="43">
        <v>3.6189242045938208E-2</v>
      </c>
      <c r="AK33" s="43">
        <v>3.9207638369407112E-2</v>
      </c>
      <c r="AL33" s="43">
        <v>7.8933556870202093E-3</v>
      </c>
      <c r="AM33" s="43">
        <v>4.1060404298741027E-2</v>
      </c>
      <c r="AN33" s="43">
        <v>7.8541349899530211E-4</v>
      </c>
      <c r="AO33" s="43">
        <v>3.418800214112006E-3</v>
      </c>
      <c r="AP33" s="43">
        <v>5.6912643807678798E-2</v>
      </c>
      <c r="AQ33" s="43">
        <v>2.060065554700508E-3</v>
      </c>
      <c r="AR33" s="43">
        <v>2.982530164088959E-2</v>
      </c>
      <c r="AS33" s="43">
        <v>9.951730322158947E-2</v>
      </c>
      <c r="AT33" s="43">
        <v>6.792544074107898E-2</v>
      </c>
      <c r="AU33" s="43">
        <v>3.6736375226309459E-2</v>
      </c>
      <c r="AV33" s="43">
        <v>6.6079042285420941E-2</v>
      </c>
      <c r="AW33" s="43">
        <v>6.283052069946593E-2</v>
      </c>
      <c r="AX33" s="43">
        <v>-4.7064976368633724E-3</v>
      </c>
      <c r="AY33" s="43">
        <v>-1.93115530364425E-2</v>
      </c>
      <c r="AZ33" s="43">
        <v>1.9763369506085701E-2</v>
      </c>
    </row>
    <row r="34" spans="1:52" ht="16" x14ac:dyDescent="0.2">
      <c r="A34" s="41">
        <v>41153</v>
      </c>
      <c r="B34" s="44">
        <v>2.7963299887014959E-3</v>
      </c>
      <c r="C34" s="44">
        <v>4.6078490618746137E-2</v>
      </c>
      <c r="D34" s="44">
        <v>3.7415994621606392E-2</v>
      </c>
      <c r="E34" s="44">
        <v>9.8562634569421936E-2</v>
      </c>
      <c r="F34" s="44">
        <v>4.4087597659279174E-3</v>
      </c>
      <c r="G34" s="44">
        <v>2.436861281736458E-2</v>
      </c>
      <c r="H34" s="44">
        <v>8.3206112466531756E-3</v>
      </c>
      <c r="I34" s="44">
        <v>6.5911082941926047E-2</v>
      </c>
      <c r="J34" s="44">
        <v>2.339781619244774E-2</v>
      </c>
      <c r="K34" s="44">
        <v>1.048572188870001E-3</v>
      </c>
      <c r="L34" s="44">
        <v>3.9229912331069539E-2</v>
      </c>
      <c r="M34" s="44">
        <v>5.680217452132541E-2</v>
      </c>
      <c r="N34" s="44">
        <v>1.531041505862807E-2</v>
      </c>
      <c r="O34" s="44">
        <v>-4.8304986543225008E-2</v>
      </c>
      <c r="P34" s="44">
        <v>3.4625989926741367E-2</v>
      </c>
      <c r="Q34" s="44">
        <v>9.0293478751091394E-2</v>
      </c>
      <c r="R34" s="44">
        <v>7.3340872731068929E-2</v>
      </c>
      <c r="S34" s="44">
        <v>9.3117339016373091E-3</v>
      </c>
      <c r="T34" s="44">
        <v>0.1049461996925249</v>
      </c>
      <c r="U34" s="44">
        <v>0.1013151129497116</v>
      </c>
      <c r="V34" s="44">
        <v>7.5293057569498112E-2</v>
      </c>
      <c r="W34" s="44">
        <v>6.3788527482175894E-2</v>
      </c>
      <c r="X34" s="44">
        <v>-9.7951072933636585E-2</v>
      </c>
      <c r="Y34" s="44">
        <v>2.1948525134208641E-2</v>
      </c>
      <c r="Z34" s="44">
        <v>8.9929891023444286E-2</v>
      </c>
      <c r="AA34" s="44">
        <v>2.1064510091608039E-2</v>
      </c>
      <c r="AB34" s="44">
        <v>0.1011320224608951</v>
      </c>
      <c r="AC34" s="44">
        <v>2.5254460197922549E-2</v>
      </c>
      <c r="AD34" s="44">
        <v>6.0501472722876759E-2</v>
      </c>
      <c r="AE34" s="44">
        <v>0.1159996534325449</v>
      </c>
      <c r="AF34" s="44">
        <v>-3.4393213440568893E-2</v>
      </c>
      <c r="AG34" s="44">
        <v>-3.7036920380515197E-2</v>
      </c>
      <c r="AH34" s="44">
        <v>4.4867125013909208E-2</v>
      </c>
      <c r="AI34" s="44">
        <v>-4.750874109045955E-2</v>
      </c>
      <c r="AJ34" s="44">
        <v>-4.9180586457753139E-2</v>
      </c>
      <c r="AK34" s="44">
        <v>3.193842486906795E-2</v>
      </c>
      <c r="AL34" s="44">
        <v>8.4886536510403898E-2</v>
      </c>
      <c r="AM34" s="44">
        <v>3.2296304119411978E-2</v>
      </c>
      <c r="AN34" s="44">
        <v>4.5011702704537138E-2</v>
      </c>
      <c r="AO34" s="44">
        <v>-8.517887729948026E-2</v>
      </c>
      <c r="AP34" s="44">
        <v>3.3164083167248608E-2</v>
      </c>
      <c r="AQ34" s="44">
        <v>0.1518356699696275</v>
      </c>
      <c r="AR34" s="44">
        <v>2.0629519738259772E-2</v>
      </c>
      <c r="AS34" s="44">
        <v>3.113817247370454E-2</v>
      </c>
      <c r="AT34" s="44">
        <v>4.0746811729622127E-2</v>
      </c>
      <c r="AU34" s="44">
        <v>-2.1838916387056709E-2</v>
      </c>
      <c r="AV34" s="44">
        <v>-5.0964121904298887E-2</v>
      </c>
      <c r="AW34" s="44">
        <v>2.4575330253989721E-2</v>
      </c>
      <c r="AX34" s="44">
        <v>-2.256265131512358E-2</v>
      </c>
      <c r="AY34" s="44">
        <v>1.652880610380203E-2</v>
      </c>
      <c r="AZ34" s="44">
        <v>2.423615361777531E-2</v>
      </c>
    </row>
    <row r="35" spans="1:52" ht="16" x14ac:dyDescent="0.2">
      <c r="A35" s="39">
        <v>41183</v>
      </c>
      <c r="B35" s="43">
        <v>-0.10760007367299371</v>
      </c>
      <c r="C35" s="43">
        <v>-3.7657670675605548E-2</v>
      </c>
      <c r="D35" s="43">
        <v>4.9013570280449732E-2</v>
      </c>
      <c r="E35" s="43">
        <v>1.4953257034038939E-2</v>
      </c>
      <c r="F35" s="43">
        <v>2.6100853165004882E-2</v>
      </c>
      <c r="G35" s="43">
        <v>-8.4263908300866719E-2</v>
      </c>
      <c r="H35" s="43">
        <v>-8.3430212807245052E-3</v>
      </c>
      <c r="I35" s="43">
        <v>5.4895048205689363E-2</v>
      </c>
      <c r="J35" s="43">
        <v>-1.7272009454363139E-2</v>
      </c>
      <c r="K35" s="43">
        <v>-9.544310068693862E-2</v>
      </c>
      <c r="L35" s="43">
        <v>-5.4221188491285877E-2</v>
      </c>
      <c r="M35" s="43">
        <v>-6.0443675854360952E-2</v>
      </c>
      <c r="N35" s="43">
        <v>7.390847759783048E-2</v>
      </c>
      <c r="O35" s="43">
        <v>3.3148876643653851E-3</v>
      </c>
      <c r="P35" s="43">
        <v>4.1252105061409423E-2</v>
      </c>
      <c r="Q35" s="43">
        <v>-1.863357225869966E-2</v>
      </c>
      <c r="R35" s="43">
        <v>-0.2107225074576895</v>
      </c>
      <c r="S35" s="43">
        <v>3.7505477910228402E-2</v>
      </c>
      <c r="T35" s="43">
        <v>-7.2655322903177444E-2</v>
      </c>
      <c r="U35" s="43">
        <v>-9.8343244131560259E-2</v>
      </c>
      <c r="V35" s="43">
        <v>7.6618186968734792E-2</v>
      </c>
      <c r="W35" s="43">
        <v>1.6730163713212901E-2</v>
      </c>
      <c r="X35" s="43">
        <v>-0.115789434196892</v>
      </c>
      <c r="Y35" s="43">
        <v>2.7717293190864689E-2</v>
      </c>
      <c r="Z35" s="43">
        <v>3.7248412962713078E-2</v>
      </c>
      <c r="AA35" s="43">
        <v>-1.9773144543261179E-2</v>
      </c>
      <c r="AB35" s="43">
        <v>6.113665835399007E-2</v>
      </c>
      <c r="AC35" s="43">
        <v>-5.395155954216746E-2</v>
      </c>
      <c r="AD35" s="43">
        <v>-2.9943999090783161E-2</v>
      </c>
      <c r="AE35" s="43">
        <v>4.1287406059717258E-2</v>
      </c>
      <c r="AF35" s="43">
        <v>-4.099426327563771E-2</v>
      </c>
      <c r="AG35" s="43">
        <v>-9.1973483719167803E-2</v>
      </c>
      <c r="AH35" s="43">
        <v>-3.838971885286147E-3</v>
      </c>
      <c r="AI35" s="43">
        <v>-0.1815693010484776</v>
      </c>
      <c r="AJ35" s="43">
        <v>-0.1019488354336696</v>
      </c>
      <c r="AK35" s="43">
        <v>-5.2850466723768807E-2</v>
      </c>
      <c r="AL35" s="43">
        <v>-2.0906772723398359E-2</v>
      </c>
      <c r="AM35" s="43">
        <v>6.4674493657894683E-3</v>
      </c>
      <c r="AN35" s="43">
        <v>-5.8866331858963061E-2</v>
      </c>
      <c r="AO35" s="43">
        <v>-8.9385480317102917E-2</v>
      </c>
      <c r="AP35" s="43">
        <v>-2.1124567191635139E-2</v>
      </c>
      <c r="AQ35" s="43">
        <v>-8.7965507362041562E-2</v>
      </c>
      <c r="AR35" s="43">
        <v>-6.1789551954772759E-2</v>
      </c>
      <c r="AS35" s="43">
        <v>-6.7863245983305509E-2</v>
      </c>
      <c r="AT35" s="43">
        <v>-4.250893854493254E-2</v>
      </c>
      <c r="AU35" s="43">
        <v>-7.0551261399067755E-2</v>
      </c>
      <c r="AV35" s="43">
        <v>2.6685890284957381E-2</v>
      </c>
      <c r="AW35" s="43">
        <v>1.0648208598083689E-2</v>
      </c>
      <c r="AX35" s="43">
        <v>3.6478656507111802E-2</v>
      </c>
      <c r="AY35" s="43">
        <v>1.6531261117469501E-2</v>
      </c>
      <c r="AZ35" s="43">
        <v>-1.9789409716293949E-2</v>
      </c>
    </row>
    <row r="36" spans="1:52" ht="16" x14ac:dyDescent="0.2">
      <c r="A36" s="41">
        <v>41214</v>
      </c>
      <c r="B36" s="44">
        <v>-1.2374444706713341E-2</v>
      </c>
      <c r="C36" s="44">
        <v>-7.6337612897375839E-3</v>
      </c>
      <c r="D36" s="44">
        <v>1.704383931413922E-2</v>
      </c>
      <c r="E36" s="44">
        <v>0.24861886264235419</v>
      </c>
      <c r="F36" s="44">
        <v>3.1048536791056899E-2</v>
      </c>
      <c r="G36" s="44">
        <v>8.2270617141830371E-2</v>
      </c>
      <c r="H36" s="44">
        <v>5.0701507696242487E-3</v>
      </c>
      <c r="I36" s="44">
        <v>-8.7928650859632196E-3</v>
      </c>
      <c r="J36" s="44">
        <v>5.8818121999283601E-2</v>
      </c>
      <c r="K36" s="44">
        <v>0.1107829391525945</v>
      </c>
      <c r="L36" s="44">
        <v>-3.3007270941287532E-2</v>
      </c>
      <c r="M36" s="44">
        <v>1.0993286457940069E-2</v>
      </c>
      <c r="N36" s="44">
        <v>3.5631810951135323E-2</v>
      </c>
      <c r="O36" s="44">
        <v>4.5757915410263639E-2</v>
      </c>
      <c r="P36" s="44">
        <v>9.7006458563979603E-3</v>
      </c>
      <c r="Q36" s="44">
        <v>2.9535938836074749E-2</v>
      </c>
      <c r="R36" s="44">
        <v>0.13427781158766419</v>
      </c>
      <c r="S36" s="44">
        <v>-2.3208173961822509E-2</v>
      </c>
      <c r="T36" s="44">
        <v>3.3239520468064661E-3</v>
      </c>
      <c r="U36" s="44">
        <v>2.656176130618593E-2</v>
      </c>
      <c r="V36" s="44">
        <v>-3.3503210662884753E-2</v>
      </c>
      <c r="W36" s="44">
        <v>6.4892150790769154E-2</v>
      </c>
      <c r="X36" s="44">
        <v>0.1027569134964217</v>
      </c>
      <c r="Y36" s="44">
        <v>-6.6842120184309461E-3</v>
      </c>
      <c r="Z36" s="44">
        <v>-1.439472153751931E-2</v>
      </c>
      <c r="AA36" s="44">
        <v>2.6900824338586871E-2</v>
      </c>
      <c r="AB36" s="44">
        <v>3.7191499092650522E-2</v>
      </c>
      <c r="AC36" s="44">
        <v>1.176991000965333E-2</v>
      </c>
      <c r="AD36" s="44">
        <v>1.27466618766805E-2</v>
      </c>
      <c r="AE36" s="44">
        <v>-2.9343898217639389E-2</v>
      </c>
      <c r="AF36" s="44">
        <v>-5.9609927519428618E-2</v>
      </c>
      <c r="AG36" s="44">
        <v>9.9447543664420879E-2</v>
      </c>
      <c r="AH36" s="44">
        <v>-1.051502990399078E-2</v>
      </c>
      <c r="AI36" s="44">
        <v>0.1783719232281884</v>
      </c>
      <c r="AJ36" s="44">
        <v>5.6118122873076706E-3</v>
      </c>
      <c r="AK36" s="44">
        <v>1.011795663552517E-2</v>
      </c>
      <c r="AL36" s="44">
        <v>-4.4709387760574981E-2</v>
      </c>
      <c r="AM36" s="44">
        <v>8.5209652071107644E-3</v>
      </c>
      <c r="AN36" s="44">
        <v>4.9719763549618712E-2</v>
      </c>
      <c r="AO36" s="44">
        <v>5.3169782409155042E-2</v>
      </c>
      <c r="AP36" s="44">
        <v>-1.0207157353561921E-2</v>
      </c>
      <c r="AQ36" s="44">
        <v>0.13055634821211409</v>
      </c>
      <c r="AR36" s="44">
        <v>8.5480503432234789E-2</v>
      </c>
      <c r="AS36" s="44">
        <v>0.2406886504662886</v>
      </c>
      <c r="AT36" s="44">
        <v>7.2465938110887418E-2</v>
      </c>
      <c r="AU36" s="44">
        <v>6.802232835507338E-2</v>
      </c>
      <c r="AV36" s="44">
        <v>4.9127779038672159E-2</v>
      </c>
      <c r="AW36" s="44">
        <v>-2.8750114743774539E-2</v>
      </c>
      <c r="AX36" s="44">
        <v>3.6321451962477709E-3</v>
      </c>
      <c r="AY36" s="44">
        <v>-3.9989247885814039E-2</v>
      </c>
      <c r="AZ36" s="44">
        <v>2.8467166850427721E-3</v>
      </c>
    </row>
    <row r="37" spans="1:52" ht="16" x14ac:dyDescent="0.2">
      <c r="A37" s="39">
        <v>41244</v>
      </c>
      <c r="B37" s="43">
        <v>-9.0743009697675903E-2</v>
      </c>
      <c r="C37" s="43">
        <v>7.6924838753673619E-3</v>
      </c>
      <c r="D37" s="43">
        <v>8.8702676702814287E-2</v>
      </c>
      <c r="E37" s="43">
        <v>5.4572252818490867E-2</v>
      </c>
      <c r="F37" s="43">
        <v>-2.9279305180173739E-2</v>
      </c>
      <c r="G37" s="43">
        <v>-4.6816120164553388E-3</v>
      </c>
      <c r="H37" s="43">
        <v>5.7322766708339579E-2</v>
      </c>
      <c r="I37" s="43">
        <v>8.7463192639345433E-3</v>
      </c>
      <c r="J37" s="43">
        <v>1.726765857142842E-2</v>
      </c>
      <c r="K37" s="43">
        <v>3.9132560811269368E-2</v>
      </c>
      <c r="L37" s="43">
        <v>2.3181180538156099E-2</v>
      </c>
      <c r="M37" s="43">
        <v>1.8014338166552731E-2</v>
      </c>
      <c r="N37" s="43">
        <v>7.5973218778813134E-4</v>
      </c>
      <c r="O37" s="43">
        <v>5.4349507154962229E-2</v>
      </c>
      <c r="P37" s="43">
        <v>2.6951119472566901E-2</v>
      </c>
      <c r="Q37" s="43">
        <v>-6.3524576948715161E-2</v>
      </c>
      <c r="R37" s="43">
        <v>3.7041003516215858E-2</v>
      </c>
      <c r="S37" s="43">
        <v>4.9525376718691838E-2</v>
      </c>
      <c r="T37" s="43">
        <v>2.439702851347203E-3</v>
      </c>
      <c r="U37" s="43">
        <v>1.2901382685271081E-2</v>
      </c>
      <c r="V37" s="43">
        <v>8.2944016451910851E-2</v>
      </c>
      <c r="W37" s="43">
        <v>-4.9484617105613249E-2</v>
      </c>
      <c r="X37" s="43">
        <v>-5.6249985776164579E-2</v>
      </c>
      <c r="Y37" s="43">
        <v>5.3063804319966046E-3</v>
      </c>
      <c r="Z37" s="43">
        <v>7.0350200551564379E-2</v>
      </c>
      <c r="AA37" s="43">
        <v>-4.4039817941762593E-2</v>
      </c>
      <c r="AB37" s="43">
        <v>1.3023152738273589E-2</v>
      </c>
      <c r="AC37" s="43">
        <v>1.3442414500286709E-2</v>
      </c>
      <c r="AD37" s="43">
        <v>-1.990688723238165E-2</v>
      </c>
      <c r="AE37" s="43">
        <v>0.13337316282332881</v>
      </c>
      <c r="AF37" s="43">
        <v>3.3808173467742009E-3</v>
      </c>
      <c r="AG37" s="43">
        <v>6.197680296031205E-2</v>
      </c>
      <c r="AH37" s="43">
        <v>6.9854893783414251E-3</v>
      </c>
      <c r="AI37" s="43">
        <v>5.8026297027294449E-2</v>
      </c>
      <c r="AJ37" s="43">
        <v>2.422695607484426E-2</v>
      </c>
      <c r="AK37" s="43">
        <v>2.1070700903841551E-2</v>
      </c>
      <c r="AL37" s="43">
        <v>-4.7247312198417817E-2</v>
      </c>
      <c r="AM37" s="43">
        <v>-2.7781582590183481E-2</v>
      </c>
      <c r="AN37" s="43">
        <v>3.5422979165877777E-2</v>
      </c>
      <c r="AO37" s="43">
        <v>0.15728153937475819</v>
      </c>
      <c r="AP37" s="43">
        <v>8.3736507637100388E-2</v>
      </c>
      <c r="AQ37" s="43">
        <v>8.60824169155745E-2</v>
      </c>
      <c r="AR37" s="43">
        <v>-2.3819325509893741E-2</v>
      </c>
      <c r="AS37" s="43">
        <v>-3.103937589724148E-2</v>
      </c>
      <c r="AT37" s="43">
        <v>8.5239808651267346E-3</v>
      </c>
      <c r="AU37" s="43">
        <v>-4.26256632511961E-2</v>
      </c>
      <c r="AV37" s="43">
        <v>4.818507873957989E-2</v>
      </c>
      <c r="AW37" s="43">
        <v>1.2167903707571699E-3</v>
      </c>
      <c r="AX37" s="43">
        <v>2.394557015255128E-2</v>
      </c>
      <c r="AY37" s="43">
        <v>-4.7367558983491209E-2</v>
      </c>
      <c r="AZ37" s="43">
        <v>7.0682309562846157E-3</v>
      </c>
    </row>
    <row r="38" spans="1:52" ht="16" x14ac:dyDescent="0.2">
      <c r="A38" s="41">
        <v>41275</v>
      </c>
      <c r="B38" s="44">
        <v>-0.14408947827146651</v>
      </c>
      <c r="C38" s="44">
        <v>8.2534223115189542E-2</v>
      </c>
      <c r="D38" s="44">
        <v>3.9809321832278144E-3</v>
      </c>
      <c r="E38" s="44">
        <v>0.15804190524919021</v>
      </c>
      <c r="F38" s="44">
        <v>-8.5845990109799653E-3</v>
      </c>
      <c r="G38" s="44">
        <v>5.831703073707506E-2</v>
      </c>
      <c r="H38" s="44">
        <v>9.798023763043795E-2</v>
      </c>
      <c r="I38" s="44">
        <v>1.9272221507944162E-2</v>
      </c>
      <c r="J38" s="44">
        <v>3.6564494599692132E-2</v>
      </c>
      <c r="K38" s="44">
        <v>4.6819353742081793E-2</v>
      </c>
      <c r="L38" s="44">
        <v>6.4822914396434062E-2</v>
      </c>
      <c r="M38" s="44">
        <v>8.2144975885449778E-2</v>
      </c>
      <c r="N38" s="44">
        <v>6.9543434267900217E-3</v>
      </c>
      <c r="O38" s="44">
        <v>8.1004987011880081E-2</v>
      </c>
      <c r="P38" s="44">
        <v>3.6101307789974342E-2</v>
      </c>
      <c r="Q38" s="44">
        <v>1.9693582575515341E-2</v>
      </c>
      <c r="R38" s="44">
        <v>7.956763361943886E-2</v>
      </c>
      <c r="S38" s="44">
        <v>-4.287562029195402E-2</v>
      </c>
      <c r="T38" s="44">
        <v>6.1457923839850492E-2</v>
      </c>
      <c r="U38" s="44">
        <v>6.8294377112346316E-2</v>
      </c>
      <c r="V38" s="44">
        <v>0.1591408618642407</v>
      </c>
      <c r="W38" s="44">
        <v>8.1972201322008775E-2</v>
      </c>
      <c r="X38" s="44">
        <v>0.1065622206727648</v>
      </c>
      <c r="Y38" s="44">
        <v>5.44933355133701E-2</v>
      </c>
      <c r="Z38" s="44">
        <v>7.73984169027091E-2</v>
      </c>
      <c r="AA38" s="44">
        <v>2.731014230888618E-2</v>
      </c>
      <c r="AB38" s="44">
        <v>0.16125811104029439</v>
      </c>
      <c r="AC38" s="44">
        <v>8.0262182847565589E-2</v>
      </c>
      <c r="AD38" s="44">
        <v>0.13603093214907219</v>
      </c>
      <c r="AE38" s="44">
        <v>0.195083477092026</v>
      </c>
      <c r="AF38" s="44">
        <v>2.7704803343815421E-2</v>
      </c>
      <c r="AG38" s="44">
        <v>0.19242890870063881</v>
      </c>
      <c r="AH38" s="44">
        <v>4.1335487164358309E-2</v>
      </c>
      <c r="AI38" s="44">
        <v>7.3025730543162304E-2</v>
      </c>
      <c r="AJ38" s="44">
        <v>0</v>
      </c>
      <c r="AK38" s="44">
        <v>0.17512551045942071</v>
      </c>
      <c r="AL38" s="44">
        <v>0.1080700946100224</v>
      </c>
      <c r="AM38" s="44">
        <v>0.11606091349643211</v>
      </c>
      <c r="AN38" s="44">
        <v>9.2993128833557481E-2</v>
      </c>
      <c r="AO38" s="44">
        <v>5.0335122112714634E-3</v>
      </c>
      <c r="AP38" s="44">
        <v>9.3450063984527265E-2</v>
      </c>
      <c r="AQ38" s="44">
        <v>0.12699566824576761</v>
      </c>
      <c r="AR38" s="44">
        <v>6.7248789861117153E-2</v>
      </c>
      <c r="AS38" s="44">
        <v>1.6776850537548741E-2</v>
      </c>
      <c r="AT38" s="44">
        <v>5.4088575583850267E-2</v>
      </c>
      <c r="AU38" s="44">
        <v>6.4310773556377265E-2</v>
      </c>
      <c r="AV38" s="44">
        <v>7.774670389072269E-2</v>
      </c>
      <c r="AW38" s="44">
        <v>1.788352081387945E-2</v>
      </c>
      <c r="AX38" s="44">
        <v>4.5656997165690827E-2</v>
      </c>
      <c r="AY38" s="44">
        <v>2.520910395916176E-2</v>
      </c>
      <c r="AZ38" s="44">
        <v>5.0428096466868848E-2</v>
      </c>
    </row>
    <row r="39" spans="1:52" ht="16" x14ac:dyDescent="0.2">
      <c r="A39" s="39">
        <v>41306</v>
      </c>
      <c r="B39" s="43">
        <v>-2.5285983918873049E-2</v>
      </c>
      <c r="C39" s="43">
        <v>-2.6562578872402209E-3</v>
      </c>
      <c r="D39" s="43">
        <v>3.9122375643698692E-2</v>
      </c>
      <c r="E39" s="43">
        <v>6.4009746828255443E-2</v>
      </c>
      <c r="F39" s="43">
        <v>7.7095619534305326E-2</v>
      </c>
      <c r="G39" s="43">
        <v>-4.6327380346018474E-3</v>
      </c>
      <c r="H39" s="43">
        <v>-6.118515379086753E-2</v>
      </c>
      <c r="I39" s="43">
        <v>4.4905211612451978E-2</v>
      </c>
      <c r="J39" s="43">
        <v>-7.6184266343606311E-3</v>
      </c>
      <c r="K39" s="43">
        <v>1.409828967972215E-2</v>
      </c>
      <c r="L39" s="43">
        <v>2.5289710516121389E-2</v>
      </c>
      <c r="M39" s="43">
        <v>1.3177317416548149E-2</v>
      </c>
      <c r="N39" s="43">
        <v>5.7320432035508739E-2</v>
      </c>
      <c r="O39" s="43">
        <v>-2.5661295587292581E-3</v>
      </c>
      <c r="P39" s="43">
        <v>5.8408485746150873E-3</v>
      </c>
      <c r="Q39" s="43">
        <v>-2.145920770536125E-2</v>
      </c>
      <c r="R39" s="43">
        <v>-9.9637654671101972E-2</v>
      </c>
      <c r="S39" s="43">
        <v>2.5188549063171809E-2</v>
      </c>
      <c r="T39" s="43">
        <v>5.0718319160240062E-2</v>
      </c>
      <c r="U39" s="43">
        <v>6.0223162863031199E-2</v>
      </c>
      <c r="V39" s="43">
        <v>1.6291449205702021E-2</v>
      </c>
      <c r="W39" s="43">
        <v>2.361008259385566E-2</v>
      </c>
      <c r="X39" s="43">
        <v>0.20946684207079971</v>
      </c>
      <c r="Y39" s="43">
        <v>3.7862963284175377E-2</v>
      </c>
      <c r="Z39" s="43">
        <v>3.9745451962727163E-2</v>
      </c>
      <c r="AA39" s="43">
        <v>3.974216002064157E-2</v>
      </c>
      <c r="AB39" s="43">
        <v>-8.0422098420788624E-2</v>
      </c>
      <c r="AC39" s="43">
        <v>1.452067813572855E-2</v>
      </c>
      <c r="AD39" s="43">
        <v>-3.519287843964225E-2</v>
      </c>
      <c r="AE39" s="43">
        <v>-1.0964826645234019E-2</v>
      </c>
      <c r="AF39" s="43">
        <v>2.1135677091699719E-2</v>
      </c>
      <c r="AG39" s="43">
        <v>0.1084658093558708</v>
      </c>
      <c r="AH39" s="43">
        <v>6.6954488253214714E-3</v>
      </c>
      <c r="AI39" s="43">
        <v>-6.000054728380011E-2</v>
      </c>
      <c r="AJ39" s="43">
        <v>3.8961334917708028E-2</v>
      </c>
      <c r="AK39" s="43">
        <v>8.9682253934031397E-3</v>
      </c>
      <c r="AL39" s="43">
        <v>-4.2969753698659852E-2</v>
      </c>
      <c r="AM39" s="43">
        <v>1.357054331223773E-2</v>
      </c>
      <c r="AN39" s="43">
        <v>2.091465742093912E-2</v>
      </c>
      <c r="AO39" s="43">
        <v>0.1085142103847017</v>
      </c>
      <c r="AP39" s="43">
        <v>-2.4060543908679729E-2</v>
      </c>
      <c r="AQ39" s="43">
        <v>-1.3522287055858669E-2</v>
      </c>
      <c r="AR39" s="43">
        <v>-5.7560628002474301E-3</v>
      </c>
      <c r="AS39" s="43">
        <v>-3.9898816640670631E-2</v>
      </c>
      <c r="AT39" s="43">
        <v>-2.5452562012540092E-4</v>
      </c>
      <c r="AU39" s="43">
        <v>-2.1204177042407619E-3</v>
      </c>
      <c r="AV39" s="43">
        <v>4.0810090470299272E-2</v>
      </c>
      <c r="AW39" s="43">
        <v>-3.1878111929207198E-2</v>
      </c>
      <c r="AX39" s="43">
        <v>4.8410604808858837E-2</v>
      </c>
      <c r="AY39" s="43">
        <v>1.1865586260139119E-2</v>
      </c>
      <c r="AZ39" s="43">
        <v>1.106064876504154E-2</v>
      </c>
    </row>
    <row r="40" spans="1:52" ht="16" x14ac:dyDescent="0.2">
      <c r="A40" s="41">
        <v>41334</v>
      </c>
      <c r="B40" s="44">
        <v>2.8547636247460151E-3</v>
      </c>
      <c r="C40" s="44">
        <v>4.5279804672821111E-2</v>
      </c>
      <c r="D40" s="44">
        <v>0.1070974036478443</v>
      </c>
      <c r="E40" s="44">
        <v>0.49716219661169592</v>
      </c>
      <c r="F40" s="44">
        <v>0.11971568621126009</v>
      </c>
      <c r="G40" s="44">
        <v>8.4005040937589204E-3</v>
      </c>
      <c r="H40" s="44">
        <v>-5.8460283974151817E-2</v>
      </c>
      <c r="I40" s="44">
        <v>5.5038754554768372E-2</v>
      </c>
      <c r="J40" s="44">
        <v>4.7586370171438963E-2</v>
      </c>
      <c r="K40" s="44">
        <v>1.9177041929265841E-3</v>
      </c>
      <c r="L40" s="44">
        <v>1.4255044379234191E-2</v>
      </c>
      <c r="M40" s="44">
        <v>4.048360691478603E-2</v>
      </c>
      <c r="N40" s="44">
        <v>5.0576503054494022E-2</v>
      </c>
      <c r="O40" s="44">
        <v>-1.4638550697134821E-2</v>
      </c>
      <c r="P40" s="44">
        <v>1.8773089018896849E-2</v>
      </c>
      <c r="Q40" s="44">
        <v>1.3157882353605601E-2</v>
      </c>
      <c r="R40" s="44">
        <v>-5.665570747464943E-2</v>
      </c>
      <c r="S40" s="44">
        <v>3.7369495410574993E-2</v>
      </c>
      <c r="T40" s="44">
        <v>-4.3068413726397026E-3</v>
      </c>
      <c r="U40" s="44">
        <v>-8.7495192268447486E-3</v>
      </c>
      <c r="V40" s="44">
        <v>-1.742784396099395E-2</v>
      </c>
      <c r="W40" s="44">
        <v>2.428736093294925E-2</v>
      </c>
      <c r="X40" s="44">
        <v>5.3081436323640707E-2</v>
      </c>
      <c r="Y40" s="44">
        <v>7.1212412197606767E-2</v>
      </c>
      <c r="Z40" s="44">
        <v>-2.9844992129840819E-2</v>
      </c>
      <c r="AA40" s="44">
        <v>5.1982174521042028E-2</v>
      </c>
      <c r="AB40" s="44">
        <v>3.1948566606915703E-2</v>
      </c>
      <c r="AC40" s="44">
        <v>3.9520021490085037E-2</v>
      </c>
      <c r="AD40" s="44">
        <v>4.4484012014725398E-2</v>
      </c>
      <c r="AE40" s="44">
        <v>-2.5277527982622949E-2</v>
      </c>
      <c r="AF40" s="44">
        <v>2.913680547158615E-2</v>
      </c>
      <c r="AG40" s="44">
        <v>0.19093044053769839</v>
      </c>
      <c r="AH40" s="44">
        <v>8.0840287747837358E-2</v>
      </c>
      <c r="AI40" s="44">
        <v>9.4563308644552979E-3</v>
      </c>
      <c r="AJ40" s="44">
        <v>1.3428024933365149E-2</v>
      </c>
      <c r="AK40" s="44">
        <v>4.4346661202841142E-2</v>
      </c>
      <c r="AL40" s="44">
        <v>5.9568927646688641E-2</v>
      </c>
      <c r="AM40" s="44">
        <v>1.155179482562496E-2</v>
      </c>
      <c r="AN40" s="44">
        <v>-3.0694358125341489E-2</v>
      </c>
      <c r="AO40" s="44">
        <v>6.024090761646228E-3</v>
      </c>
      <c r="AP40" s="44">
        <v>3.4047068247208927E-2</v>
      </c>
      <c r="AQ40" s="44">
        <v>5.4395138672693744E-3</v>
      </c>
      <c r="AR40" s="44">
        <v>2.356951469625557E-2</v>
      </c>
      <c r="AS40" s="44">
        <v>5.6287387483608058E-2</v>
      </c>
      <c r="AT40" s="44">
        <v>4.5175986735202837E-2</v>
      </c>
      <c r="AU40" s="44">
        <v>3.9582668045892389E-2</v>
      </c>
      <c r="AV40" s="44">
        <v>3.0496514209827689E-2</v>
      </c>
      <c r="AW40" s="44">
        <v>7.4500700087853033E-2</v>
      </c>
      <c r="AX40" s="44">
        <v>3.8655000969036728E-2</v>
      </c>
      <c r="AY40" s="44">
        <v>6.4040735043095376E-2</v>
      </c>
      <c r="AZ40" s="44">
        <v>3.5987723982872977E-2</v>
      </c>
    </row>
    <row r="41" spans="1:52" ht="16" x14ac:dyDescent="0.2">
      <c r="A41" s="39">
        <v>41365</v>
      </c>
      <c r="B41" s="43">
        <v>2.7108463881386768E-4</v>
      </c>
      <c r="C41" s="43">
        <v>4.9259741097275933E-2</v>
      </c>
      <c r="D41" s="43">
        <v>3.5845619413653378E-2</v>
      </c>
      <c r="E41" s="43">
        <v>-0.102350225226935</v>
      </c>
      <c r="F41" s="43">
        <v>1.6583613620089421E-2</v>
      </c>
      <c r="G41" s="43">
        <v>-4.7581509289708952E-2</v>
      </c>
      <c r="H41" s="43">
        <v>-2.0192687291049172E-2</v>
      </c>
      <c r="I41" s="43">
        <v>-1.160711339557507E-2</v>
      </c>
      <c r="J41" s="43">
        <v>2.1863627490448009E-2</v>
      </c>
      <c r="K41" s="43">
        <v>9.0483833165893035E-3</v>
      </c>
      <c r="L41" s="43">
        <v>2.684724277117034E-2</v>
      </c>
      <c r="M41" s="43">
        <v>0.1063380511348813</v>
      </c>
      <c r="N41" s="43">
        <v>5.5375011174447993E-2</v>
      </c>
      <c r="O41" s="43">
        <v>-6.4432564344205634E-3</v>
      </c>
      <c r="P41" s="43">
        <v>-5.2566217807537903E-2</v>
      </c>
      <c r="Q41" s="43">
        <v>0.1233766635888995</v>
      </c>
      <c r="R41" s="43">
        <v>-0.14200719876353801</v>
      </c>
      <c r="S41" s="43">
        <v>5.7470440123185577E-2</v>
      </c>
      <c r="T41" s="43">
        <v>-3.5899794009708441E-2</v>
      </c>
      <c r="U41" s="43">
        <v>3.8252991942205439E-2</v>
      </c>
      <c r="V41" s="43">
        <v>-7.3394551886029058E-3</v>
      </c>
      <c r="W41" s="43">
        <v>5.1160944286626993E-2</v>
      </c>
      <c r="X41" s="43">
        <v>-5.3823162626851717E-2</v>
      </c>
      <c r="Y41" s="43">
        <v>4.5381923814191927E-2</v>
      </c>
      <c r="Z41" s="43">
        <v>3.9116074374707432E-2</v>
      </c>
      <c r="AA41" s="43">
        <v>4.6735749415506962E-2</v>
      </c>
      <c r="AB41" s="43">
        <v>-0.12882752322315169</v>
      </c>
      <c r="AC41" s="43">
        <v>2.4576023892777691E-2</v>
      </c>
      <c r="AD41" s="43">
        <v>-4.7230603080561368E-4</v>
      </c>
      <c r="AE41" s="43">
        <v>1.009091978641052E-2</v>
      </c>
      <c r="AF41" s="43">
        <v>0.1569383111587617</v>
      </c>
      <c r="AG41" s="43">
        <v>-5.6112031011887442E-2</v>
      </c>
      <c r="AH41" s="43">
        <v>5.599849338495666E-2</v>
      </c>
      <c r="AI41" s="43">
        <v>2.137006408860187E-2</v>
      </c>
      <c r="AJ41" s="43">
        <v>7.3265895939277348E-2</v>
      </c>
      <c r="AK41" s="43">
        <v>5.6617637227182722E-2</v>
      </c>
      <c r="AL41" s="43">
        <v>8.4997291782902717E-2</v>
      </c>
      <c r="AM41" s="43">
        <v>3.5559973943641849E-3</v>
      </c>
      <c r="AN41" s="43">
        <v>-3.2867378088781041E-2</v>
      </c>
      <c r="AO41" s="43">
        <v>0.18113773491636609</v>
      </c>
      <c r="AP41" s="43">
        <v>4.9274857725115417E-2</v>
      </c>
      <c r="AQ41" s="43">
        <v>-1.5797419851763639E-2</v>
      </c>
      <c r="AR41" s="43">
        <v>-7.9772653691397744E-2</v>
      </c>
      <c r="AS41" s="43">
        <v>0.21961432448194401</v>
      </c>
      <c r="AT41" s="43">
        <v>8.4196975139029462E-2</v>
      </c>
      <c r="AU41" s="43">
        <v>4.3208446122825261E-2</v>
      </c>
      <c r="AV41" s="43">
        <v>2.8550360142818091E-2</v>
      </c>
      <c r="AW41" s="43">
        <v>4.7544074076592668E-2</v>
      </c>
      <c r="AX41" s="43">
        <v>3.8971928888925873E-2</v>
      </c>
      <c r="AY41" s="43">
        <v>3.862072994840271E-2</v>
      </c>
      <c r="AZ41" s="43">
        <v>1.808576777989002E-2</v>
      </c>
    </row>
    <row r="42" spans="1:52" ht="16" x14ac:dyDescent="0.2">
      <c r="A42" s="41">
        <v>41395</v>
      </c>
      <c r="B42" s="44">
        <v>2.241927323021331E-2</v>
      </c>
      <c r="C42" s="44">
        <v>-6.771454515091091E-3</v>
      </c>
      <c r="D42" s="44">
        <v>-4.813668801024118E-2</v>
      </c>
      <c r="E42" s="44">
        <v>0.51942563676285558</v>
      </c>
      <c r="F42" s="44">
        <v>-3.1052659290292991E-2</v>
      </c>
      <c r="G42" s="44">
        <v>6.0635890076722321E-2</v>
      </c>
      <c r="H42" s="44">
        <v>1.334635365766923E-2</v>
      </c>
      <c r="I42" s="44">
        <v>-2.7360586625660991E-2</v>
      </c>
      <c r="J42" s="44">
        <v>1.3889124787847431E-2</v>
      </c>
      <c r="K42" s="44">
        <v>0.1529636539869994</v>
      </c>
      <c r="L42" s="44">
        <v>1.417834118539152E-2</v>
      </c>
      <c r="M42" s="44">
        <v>3.8194070673045481E-3</v>
      </c>
      <c r="N42" s="44">
        <v>-1.7729713194774011E-3</v>
      </c>
      <c r="O42" s="44">
        <v>4.237218292057543E-2</v>
      </c>
      <c r="P42" s="44">
        <v>6.5533108161824005E-2</v>
      </c>
      <c r="Q42" s="44">
        <v>-6.743736045737414E-2</v>
      </c>
      <c r="R42" s="44">
        <v>8.8708605943021768E-2</v>
      </c>
      <c r="S42" s="44">
        <v>4.2455601839890063E-2</v>
      </c>
      <c r="T42" s="44">
        <v>4.6209118665309752E-2</v>
      </c>
      <c r="U42" s="44">
        <v>5.6574785005048638E-2</v>
      </c>
      <c r="V42" s="44">
        <v>0.1131114493550933</v>
      </c>
      <c r="W42" s="44">
        <v>7.239238271229409E-2</v>
      </c>
      <c r="X42" s="44">
        <v>9.0295521932826084E-4</v>
      </c>
      <c r="Y42" s="44">
        <v>-4.8951859830008706E-3</v>
      </c>
      <c r="Z42" s="44">
        <v>0.1138541103838011</v>
      </c>
      <c r="AA42" s="44">
        <v>-5.5280262595774343E-2</v>
      </c>
      <c r="AB42" s="44">
        <v>5.9155274204169661E-2</v>
      </c>
      <c r="AC42" s="44">
        <v>-4.7125349525088962E-2</v>
      </c>
      <c r="AD42" s="44">
        <v>9.2759066399849655E-2</v>
      </c>
      <c r="AE42" s="44">
        <v>0.1693002565386654</v>
      </c>
      <c r="AF42" s="44">
        <v>6.177415999401803E-2</v>
      </c>
      <c r="AG42" s="44">
        <v>0.23991512875516419</v>
      </c>
      <c r="AH42" s="44">
        <v>-7.0036009466124316E-2</v>
      </c>
      <c r="AI42" s="44">
        <v>7.5666284675553364E-2</v>
      </c>
      <c r="AJ42" s="44">
        <v>5.6173071122127327E-2</v>
      </c>
      <c r="AK42" s="44">
        <v>3.5980393468063809E-2</v>
      </c>
      <c r="AL42" s="44">
        <v>-0.1211057728398769</v>
      </c>
      <c r="AM42" s="44">
        <v>-1.298490857032375E-4</v>
      </c>
      <c r="AN42" s="44">
        <v>0.13180904287651371</v>
      </c>
      <c r="AO42" s="44">
        <v>-3.2953074327552352E-2</v>
      </c>
      <c r="AP42" s="44">
        <v>-3.9332666681015323E-2</v>
      </c>
      <c r="AQ42" s="44">
        <v>9.3447688097774817E-2</v>
      </c>
      <c r="AR42" s="44">
        <v>3.0519551999177889E-2</v>
      </c>
      <c r="AS42" s="44">
        <v>0.1242913871060929</v>
      </c>
      <c r="AT42" s="44">
        <v>3.226664401727275E-2</v>
      </c>
      <c r="AU42" s="44">
        <v>4.070744393812209E-2</v>
      </c>
      <c r="AV42" s="44">
        <v>-8.2849199769200466E-3</v>
      </c>
      <c r="AW42" s="44">
        <v>4.5052459644798093E-2</v>
      </c>
      <c r="AX42" s="44">
        <v>4.9603834395362201E-2</v>
      </c>
      <c r="AY42" s="44">
        <v>-3.1280104710045158E-2</v>
      </c>
      <c r="AZ42" s="44">
        <v>2.0762811683057821E-2</v>
      </c>
    </row>
    <row r="43" spans="1:52" ht="16" x14ac:dyDescent="0.2">
      <c r="A43" s="39">
        <v>41426</v>
      </c>
      <c r="B43" s="43">
        <v>-0.1182930253106087</v>
      </c>
      <c r="C43" s="43">
        <v>-4.8813707369591897E-2</v>
      </c>
      <c r="D43" s="43">
        <v>6.1757201941326167E-2</v>
      </c>
      <c r="E43" s="43">
        <v>9.7276265829058906E-2</v>
      </c>
      <c r="F43" s="43">
        <v>-1.86012963933605E-2</v>
      </c>
      <c r="G43" s="43">
        <v>3.1537853678727863E-2</v>
      </c>
      <c r="H43" s="43">
        <v>-3.8578304295166621E-2</v>
      </c>
      <c r="I43" s="43">
        <v>3.9333208452990931E-2</v>
      </c>
      <c r="J43" s="43">
        <v>8.57414190029826E-3</v>
      </c>
      <c r="K43" s="43">
        <v>9.1209441362936072E-3</v>
      </c>
      <c r="L43" s="43">
        <v>-3.5926843412921183E-2</v>
      </c>
      <c r="M43" s="43">
        <v>1.109689370679678E-3</v>
      </c>
      <c r="N43" s="43">
        <v>1.1268558223858751E-2</v>
      </c>
      <c r="O43" s="43">
        <v>-5.0818056951392299E-2</v>
      </c>
      <c r="P43" s="43">
        <v>1.9984482107228582E-2</v>
      </c>
      <c r="Q43" s="43">
        <v>-6.1983508528291383E-2</v>
      </c>
      <c r="R43" s="43">
        <v>-0.17317625515277529</v>
      </c>
      <c r="S43" s="43">
        <v>1.595338142567759E-2</v>
      </c>
      <c r="T43" s="43">
        <v>2.3677133915607218E-3</v>
      </c>
      <c r="U43" s="43">
        <v>1.050266189723348E-2</v>
      </c>
      <c r="V43" s="43">
        <v>-6.6818777860433776E-2</v>
      </c>
      <c r="W43" s="43">
        <v>-1.0246989833234689E-2</v>
      </c>
      <c r="X43" s="43">
        <v>-7.6680232615661259E-3</v>
      </c>
      <c r="Y43" s="43">
        <v>1.9957394611850979E-2</v>
      </c>
      <c r="Z43" s="43">
        <v>-3.297305394608363E-2</v>
      </c>
      <c r="AA43" s="43">
        <v>9.9339403898830447E-3</v>
      </c>
      <c r="AB43" s="43">
        <v>-7.7169704595513977E-2</v>
      </c>
      <c r="AC43" s="43">
        <v>2.5163083086305441E-2</v>
      </c>
      <c r="AD43" s="43">
        <v>9.018511441813537E-3</v>
      </c>
      <c r="AE43" s="43">
        <v>-5.6756671813064652E-2</v>
      </c>
      <c r="AF43" s="43">
        <v>-1.0315261178700189E-2</v>
      </c>
      <c r="AG43" s="43">
        <v>0.22688341532789669</v>
      </c>
      <c r="AH43" s="43">
        <v>7.7493078389782033E-2</v>
      </c>
      <c r="AI43" s="43">
        <v>6.6613905514762983E-3</v>
      </c>
      <c r="AJ43" s="43">
        <v>-2.9716726744700491E-2</v>
      </c>
      <c r="AK43" s="43">
        <v>-3.8633159354632962E-3</v>
      </c>
      <c r="AL43" s="43">
        <v>-8.4847174922177304E-2</v>
      </c>
      <c r="AM43" s="43">
        <v>2.99588806061668E-3</v>
      </c>
      <c r="AN43" s="43">
        <v>-4.3704665686799871E-2</v>
      </c>
      <c r="AO43" s="43">
        <v>5.6356526700693133E-2</v>
      </c>
      <c r="AP43" s="43">
        <v>-5.7296428232555208E-2</v>
      </c>
      <c r="AQ43" s="43">
        <v>0.2043031877748076</v>
      </c>
      <c r="AR43" s="43">
        <v>-3.2314207567730957E-2</v>
      </c>
      <c r="AS43" s="43">
        <v>-7.0282860210022391E-2</v>
      </c>
      <c r="AT43" s="43">
        <v>-6.3279210097936245E-2</v>
      </c>
      <c r="AU43" s="43">
        <v>-1.0867514287350111E-2</v>
      </c>
      <c r="AV43" s="43">
        <v>-2.9518237013942961E-2</v>
      </c>
      <c r="AW43" s="43">
        <v>5.0111888853537012E-2</v>
      </c>
      <c r="AX43" s="43">
        <v>-2.1995327452345448E-3</v>
      </c>
      <c r="AY43" s="43">
        <v>-4.6768239642986931E-3</v>
      </c>
      <c r="AZ43" s="43">
        <v>-1.4999301595580831E-2</v>
      </c>
    </row>
    <row r="44" spans="1:52" ht="16" x14ac:dyDescent="0.2">
      <c r="A44" s="41">
        <v>41456</v>
      </c>
      <c r="B44" s="44">
        <v>0.14122481939109099</v>
      </c>
      <c r="C44" s="44">
        <v>5.4421130621388869E-2</v>
      </c>
      <c r="D44" s="44">
        <v>3.7752356324865843E-2</v>
      </c>
      <c r="E44" s="44">
        <v>-5.0658755131314237E-3</v>
      </c>
      <c r="F44" s="44">
        <v>9.7607831406842482E-2</v>
      </c>
      <c r="G44" s="44">
        <v>8.4734802014952537E-2</v>
      </c>
      <c r="H44" s="44">
        <v>1.2097886277236959E-2</v>
      </c>
      <c r="I44" s="44">
        <v>8.4827100496739583E-2</v>
      </c>
      <c r="J44" s="44">
        <v>6.1951685179130633E-2</v>
      </c>
      <c r="K44" s="44">
        <v>5.8750687481342601E-2</v>
      </c>
      <c r="L44" s="44">
        <v>6.3799514000324242E-2</v>
      </c>
      <c r="M44" s="44">
        <v>2.3752787938997599E-2</v>
      </c>
      <c r="N44" s="44">
        <v>8.1582242220242573E-2</v>
      </c>
      <c r="O44" s="44">
        <v>0.12522937974291251</v>
      </c>
      <c r="P44" s="44">
        <v>0.10631335576382341</v>
      </c>
      <c r="Q44" s="44">
        <v>0.11453744169510351</v>
      </c>
      <c r="R44" s="44">
        <v>0.27616277844793718</v>
      </c>
      <c r="S44" s="44">
        <v>9.7270114765075411E-2</v>
      </c>
      <c r="T44" s="44">
        <v>5.0884038603198338E-2</v>
      </c>
      <c r="U44" s="44">
        <v>8.3828153814151651E-3</v>
      </c>
      <c r="V44" s="44">
        <v>8.4496080469417034E-2</v>
      </c>
      <c r="W44" s="44">
        <v>2.013702213436552E-2</v>
      </c>
      <c r="X44" s="44">
        <v>6.4090902155095941E-2</v>
      </c>
      <c r="Y44" s="44">
        <v>8.8982013310848096E-2</v>
      </c>
      <c r="Z44" s="44">
        <v>6.3390695566936772E-2</v>
      </c>
      <c r="AA44" s="44">
        <v>-7.4821662808877143E-4</v>
      </c>
      <c r="AB44" s="44">
        <v>1.6008577401385169E-3</v>
      </c>
      <c r="AC44" s="44">
        <v>-9.2929405707564694E-3</v>
      </c>
      <c r="AD44" s="44">
        <v>7.9051112701384207E-2</v>
      </c>
      <c r="AE44" s="44">
        <v>0.1158086124443458</v>
      </c>
      <c r="AF44" s="44">
        <v>-7.8170607285666383E-2</v>
      </c>
      <c r="AG44" s="44">
        <v>-7.6064273796770387E-2</v>
      </c>
      <c r="AH44" s="44">
        <v>6.295990094533499E-2</v>
      </c>
      <c r="AI44" s="44">
        <v>9.2660620958901152E-2</v>
      </c>
      <c r="AJ44" s="44">
        <v>2.8490131013150899E-2</v>
      </c>
      <c r="AK44" s="44">
        <v>0.1231302697944119</v>
      </c>
      <c r="AL44" s="44">
        <v>0.28177197912265628</v>
      </c>
      <c r="AM44" s="44">
        <v>5.0805310172415741E-2</v>
      </c>
      <c r="AN44" s="44">
        <v>8.2599418482813824E-2</v>
      </c>
      <c r="AO44" s="44">
        <v>-5.0868523933496952E-2</v>
      </c>
      <c r="AP44" s="44">
        <v>1.6967044265061348E-2</v>
      </c>
      <c r="AQ44" s="44">
        <v>6.0110267341455081E-2</v>
      </c>
      <c r="AR44" s="44">
        <v>5.6801494661768981E-2</v>
      </c>
      <c r="AS44" s="44">
        <v>0.20090712577294731</v>
      </c>
      <c r="AT44" s="44">
        <v>-1.3760021051881011E-2</v>
      </c>
      <c r="AU44" s="44">
        <v>3.955265643687067E-2</v>
      </c>
      <c r="AV44" s="44">
        <v>0.13235389835208311</v>
      </c>
      <c r="AW44" s="44">
        <v>0.11255352451110071</v>
      </c>
      <c r="AX44" s="44">
        <v>2.7936707646542439E-2</v>
      </c>
      <c r="AY44" s="44">
        <v>4.631478772042863E-2</v>
      </c>
      <c r="AZ44" s="44">
        <v>4.9462079913085377E-2</v>
      </c>
    </row>
    <row r="45" spans="1:52" ht="16" x14ac:dyDescent="0.2">
      <c r="A45" s="39">
        <v>41487</v>
      </c>
      <c r="B45" s="43">
        <v>8.376673027623438E-2</v>
      </c>
      <c r="C45" s="43">
        <v>-9.0090035049250505E-2</v>
      </c>
      <c r="D45" s="43">
        <v>-3.2360381108276097E-2</v>
      </c>
      <c r="E45" s="43">
        <v>7.8411454347550702E-2</v>
      </c>
      <c r="F45" s="43">
        <v>1.040558106734157E-2</v>
      </c>
      <c r="G45" s="43">
        <v>-6.7193419602835536E-2</v>
      </c>
      <c r="H45" s="43">
        <v>-4.4624425306148963E-3</v>
      </c>
      <c r="I45" s="43">
        <v>-6.6326686873187324E-2</v>
      </c>
      <c r="J45" s="43">
        <v>-4.4788222802884532E-2</v>
      </c>
      <c r="K45" s="43">
        <v>-8.9097475368364987E-2</v>
      </c>
      <c r="L45" s="43">
        <v>-3.5468299783049113E-2</v>
      </c>
      <c r="M45" s="43">
        <v>-5.9087250638655942E-2</v>
      </c>
      <c r="N45" s="43">
        <v>-8.5742455249848692E-3</v>
      </c>
      <c r="O45" s="43">
        <v>-9.7894511872440582E-3</v>
      </c>
      <c r="P45" s="43">
        <v>7.9455484848746982E-2</v>
      </c>
      <c r="Q45" s="43">
        <v>-9.8813664946880708E-3</v>
      </c>
      <c r="R45" s="43">
        <v>-5.0341749939738167E-2</v>
      </c>
      <c r="S45" s="43">
        <v>-2.4489841860751649E-2</v>
      </c>
      <c r="T45" s="43">
        <v>-5.0472059762673993E-2</v>
      </c>
      <c r="U45" s="43">
        <v>-4.6015197904275329E-2</v>
      </c>
      <c r="V45" s="43">
        <v>-6.9511594739496196E-2</v>
      </c>
      <c r="W45" s="43">
        <v>-5.7446586189907722E-2</v>
      </c>
      <c r="X45" s="43">
        <v>0.44767191843424348</v>
      </c>
      <c r="Y45" s="43">
        <v>-6.8865975096377707E-2</v>
      </c>
      <c r="Z45" s="43">
        <v>-9.3306946450371075E-2</v>
      </c>
      <c r="AA45" s="43">
        <v>-4.7405189442901841E-2</v>
      </c>
      <c r="AB45" s="43">
        <v>1.400418132261083E-2</v>
      </c>
      <c r="AC45" s="43">
        <v>-3.0155461308121859E-2</v>
      </c>
      <c r="AD45" s="43">
        <v>-6.3178873789713874E-2</v>
      </c>
      <c r="AE45" s="43">
        <v>-5.3288948167677153E-2</v>
      </c>
      <c r="AF45" s="43">
        <v>5.6386976006240097E-2</v>
      </c>
      <c r="AG45" s="43">
        <v>2.4924636047750411E-2</v>
      </c>
      <c r="AH45" s="43">
        <v>-6.4548951053118642E-2</v>
      </c>
      <c r="AI45" s="43">
        <v>1.0213670538165239E-2</v>
      </c>
      <c r="AJ45" s="43">
        <v>2.6618490215498228E-2</v>
      </c>
      <c r="AK45" s="43">
        <v>-4.0625106399580953E-2</v>
      </c>
      <c r="AL45" s="43">
        <v>-2.1495141537690499E-2</v>
      </c>
      <c r="AM45" s="43">
        <v>-3.0011904430120251E-2</v>
      </c>
      <c r="AN45" s="43">
        <v>-2.8024643506139649E-2</v>
      </c>
      <c r="AO45" s="43">
        <v>-4.8365997509351777E-2</v>
      </c>
      <c r="AP45" s="43">
        <v>-8.1334529791342924E-2</v>
      </c>
      <c r="AQ45" s="43">
        <v>-0.18176091987223639</v>
      </c>
      <c r="AR45" s="43">
        <v>3.2056632628142623E-2</v>
      </c>
      <c r="AS45" s="43">
        <v>-0.1027549683469003</v>
      </c>
      <c r="AT45" s="43">
        <v>-7.3390395539724151E-3</v>
      </c>
      <c r="AU45" s="43">
        <v>1.587788799103507E-2</v>
      </c>
      <c r="AV45" s="43">
        <v>-2.5012756451772811E-2</v>
      </c>
      <c r="AW45" s="43">
        <v>-1.5236991335164761E-2</v>
      </c>
      <c r="AX45" s="43">
        <v>-2.683782911404986E-2</v>
      </c>
      <c r="AY45" s="43">
        <v>-5.7952959446442957E-2</v>
      </c>
      <c r="AZ45" s="43">
        <v>-3.1298019479343957E-2</v>
      </c>
    </row>
    <row r="46" spans="1:52" ht="16" x14ac:dyDescent="0.2">
      <c r="A46" s="41">
        <v>41518</v>
      </c>
      <c r="B46" s="44">
        <v>-2.148890959251604E-2</v>
      </c>
      <c r="C46" s="44">
        <v>-4.2005075524135238E-3</v>
      </c>
      <c r="D46" s="44">
        <v>0.13530051643079741</v>
      </c>
      <c r="E46" s="44">
        <v>0.36779975901487871</v>
      </c>
      <c r="F46" s="44">
        <v>2.7354164230662729E-2</v>
      </c>
      <c r="G46" s="44">
        <v>0.1126770736120641</v>
      </c>
      <c r="H46" s="44">
        <v>1.0419195373341241E-2</v>
      </c>
      <c r="I46" s="44">
        <v>7.6681378667442734E-2</v>
      </c>
      <c r="J46" s="44">
        <v>2.9498605405931851E-2</v>
      </c>
      <c r="K46" s="44">
        <v>5.147859947849609E-3</v>
      </c>
      <c r="L46" s="44">
        <v>8.8848254043585317E-3</v>
      </c>
      <c r="M46" s="44">
        <v>6.016741649896673E-2</v>
      </c>
      <c r="N46" s="44">
        <v>8.371293740933794E-2</v>
      </c>
      <c r="O46" s="44">
        <v>7.1724295610194444E-2</v>
      </c>
      <c r="P46" s="44">
        <v>7.7873000965097416E-2</v>
      </c>
      <c r="Q46" s="44">
        <v>0.16167662789914131</v>
      </c>
      <c r="R46" s="44">
        <v>2.9143684159526281E-2</v>
      </c>
      <c r="S46" s="44">
        <v>5.1290758848024483E-2</v>
      </c>
      <c r="T46" s="44">
        <v>4.0362674922493243E-2</v>
      </c>
      <c r="U46" s="44">
        <v>3.4254267928497617E-2</v>
      </c>
      <c r="V46" s="44">
        <v>3.9965579465278012E-2</v>
      </c>
      <c r="W46" s="44">
        <v>2.3616650189229649E-2</v>
      </c>
      <c r="X46" s="44">
        <v>0.12570086199327779</v>
      </c>
      <c r="Y46" s="44">
        <v>3.2403817363122478E-3</v>
      </c>
      <c r="Z46" s="44">
        <v>2.2956520812066339E-2</v>
      </c>
      <c r="AA46" s="44">
        <v>-6.417624040826464E-4</v>
      </c>
      <c r="AB46" s="44">
        <v>7.3664824179756616E-2</v>
      </c>
      <c r="AC46" s="44">
        <v>1.9605893978471789E-2</v>
      </c>
      <c r="AD46" s="44">
        <v>2.8985663053355811E-2</v>
      </c>
      <c r="AE46" s="44">
        <v>4.6195692099545438E-2</v>
      </c>
      <c r="AF46" s="44">
        <v>-3.5928261562768742E-3</v>
      </c>
      <c r="AG46" s="44">
        <v>0.28739856148291221</v>
      </c>
      <c r="AH46" s="44">
        <v>-2.4887686526876558E-3</v>
      </c>
      <c r="AI46" s="44">
        <v>2.599918721293348E-2</v>
      </c>
      <c r="AJ46" s="44">
        <v>5.4915003988839077E-2</v>
      </c>
      <c r="AK46" s="44">
        <v>4.7177376554316641E-2</v>
      </c>
      <c r="AL46" s="44">
        <v>3.6547455708915599E-2</v>
      </c>
      <c r="AM46" s="44">
        <v>-2.9529141327238499E-2</v>
      </c>
      <c r="AN46" s="44">
        <v>8.7744145434247578E-2</v>
      </c>
      <c r="AO46" s="44">
        <v>7.6923066846214194E-2</v>
      </c>
      <c r="AP46" s="44">
        <v>7.5582467726805991E-2</v>
      </c>
      <c r="AQ46" s="44">
        <v>-5.1973328877205072E-3</v>
      </c>
      <c r="AR46" s="44">
        <v>1.5690640033863001E-2</v>
      </c>
      <c r="AS46" s="44">
        <v>0.29119726298190263</v>
      </c>
      <c r="AT46" s="44">
        <v>5.6728461694458332E-2</v>
      </c>
      <c r="AU46" s="44">
        <v>6.9613110068183603E-2</v>
      </c>
      <c r="AV46" s="44">
        <v>5.471157803340021E-2</v>
      </c>
      <c r="AW46" s="44">
        <v>1.947279004508085E-3</v>
      </c>
      <c r="AX46" s="44">
        <v>1.1723387840872681E-2</v>
      </c>
      <c r="AY46" s="44">
        <v>1.342882865276929E-2</v>
      </c>
      <c r="AZ46" s="44">
        <v>2.9749523259195328E-2</v>
      </c>
    </row>
    <row r="47" spans="1:52" ht="16" x14ac:dyDescent="0.2">
      <c r="A47" s="39">
        <v>41548</v>
      </c>
      <c r="B47" s="43">
        <v>9.6381508617860767E-2</v>
      </c>
      <c r="C47" s="43">
        <v>0.1059028270466482</v>
      </c>
      <c r="D47" s="43">
        <v>4.3896855107379729E-2</v>
      </c>
      <c r="E47" s="43">
        <v>-0.1076975839086927</v>
      </c>
      <c r="F47" s="43">
        <v>3.7705480342782323E-2</v>
      </c>
      <c r="G47" s="43">
        <v>0.16437435865524111</v>
      </c>
      <c r="H47" s="43">
        <v>6.5209348613399776E-3</v>
      </c>
      <c r="I47" s="43">
        <v>5.496461335092917E-2</v>
      </c>
      <c r="J47" s="43">
        <v>2.4572098393533141E-2</v>
      </c>
      <c r="K47" s="43">
        <v>-3.0094836058500829E-2</v>
      </c>
      <c r="L47" s="43">
        <v>-1.267482182061253E-2</v>
      </c>
      <c r="M47" s="43">
        <v>6.3575965167531834E-2</v>
      </c>
      <c r="N47" s="43">
        <v>7.3308954656389202E-2</v>
      </c>
      <c r="O47" s="43">
        <v>3.5085079621865363E-2</v>
      </c>
      <c r="P47" s="43">
        <v>5.4970481515804082E-2</v>
      </c>
      <c r="Q47" s="43">
        <v>-0.15292101667905869</v>
      </c>
      <c r="R47" s="43">
        <v>-4.9761062400109253E-2</v>
      </c>
      <c r="S47" s="43">
        <v>-3.601702429713693E-3</v>
      </c>
      <c r="T47" s="43">
        <v>9.4181673624377904E-2</v>
      </c>
      <c r="U47" s="43">
        <v>0.17658219586373519</v>
      </c>
      <c r="V47" s="43">
        <v>1.67503323812348E-2</v>
      </c>
      <c r="W47" s="43">
        <v>2.689482912876295E-2</v>
      </c>
      <c r="X47" s="43">
        <v>2.2280430933783849E-2</v>
      </c>
      <c r="Y47" s="43">
        <v>6.8289203702066148E-2</v>
      </c>
      <c r="Z47" s="43">
        <v>4.4440382186661243E-3</v>
      </c>
      <c r="AA47" s="43">
        <v>4.4614131808268682E-2</v>
      </c>
      <c r="AB47" s="43">
        <v>-6.8733307009727906E-2</v>
      </c>
      <c r="AC47" s="43">
        <v>3.22191825950302E-3</v>
      </c>
      <c r="AD47" s="43">
        <v>8.3603153829519217E-2</v>
      </c>
      <c r="AE47" s="43">
        <v>6.7891095412752733E-2</v>
      </c>
      <c r="AF47" s="43">
        <v>6.4002474456774205E-2</v>
      </c>
      <c r="AG47" s="43">
        <v>1.2020822731911631E-2</v>
      </c>
      <c r="AH47" s="43">
        <v>5.7260657810707993E-2</v>
      </c>
      <c r="AI47" s="43">
        <v>-8.6004652399964576E-2</v>
      </c>
      <c r="AJ47" s="43">
        <v>-2.3778914526347839E-2</v>
      </c>
      <c r="AK47" s="43">
        <v>5.7114788000940608E-2</v>
      </c>
      <c r="AL47" s="43">
        <v>6.677306909577041E-2</v>
      </c>
      <c r="AM47" s="43">
        <v>7.6614750101380302E-2</v>
      </c>
      <c r="AN47" s="43">
        <v>7.3583310717898254E-2</v>
      </c>
      <c r="AO47" s="43">
        <v>7.1428501918783027E-2</v>
      </c>
      <c r="AP47" s="43">
        <v>6.1935552558786362E-2</v>
      </c>
      <c r="AQ47" s="43">
        <v>5.1857688860166062E-2</v>
      </c>
      <c r="AR47" s="43">
        <v>3.22345924909202E-2</v>
      </c>
      <c r="AS47" s="43">
        <v>-8.0768336286841991E-2</v>
      </c>
      <c r="AT47" s="43">
        <v>3.1946574103159042E-2</v>
      </c>
      <c r="AU47" s="43">
        <v>7.8028162591108563E-2</v>
      </c>
      <c r="AV47" s="43">
        <v>5.2374681246037058E-2</v>
      </c>
      <c r="AW47" s="43">
        <v>-4.6781083162689918E-2</v>
      </c>
      <c r="AX47" s="43">
        <v>-2.536367918945337E-2</v>
      </c>
      <c r="AY47" s="43">
        <v>3.772272233032159E-2</v>
      </c>
      <c r="AZ47" s="43">
        <v>4.4595752761944718E-2</v>
      </c>
    </row>
    <row r="48" spans="1:52" ht="16" x14ac:dyDescent="0.2">
      <c r="A48" s="41">
        <v>41579</v>
      </c>
      <c r="B48" s="44">
        <v>7.0053134125549699E-2</v>
      </c>
      <c r="C48" s="44">
        <v>4.487023538753232E-2</v>
      </c>
      <c r="D48" s="44">
        <v>4.7215003706349012E-2</v>
      </c>
      <c r="E48" s="44">
        <v>0.12185684998242061</v>
      </c>
      <c r="F48" s="44">
        <v>-1.364038152965585E-2</v>
      </c>
      <c r="G48" s="44">
        <v>8.1284499731107074E-2</v>
      </c>
      <c r="H48" s="44">
        <v>1.487465010036515E-2</v>
      </c>
      <c r="I48" s="44">
        <v>4.7689174729914852E-2</v>
      </c>
      <c r="J48" s="44">
        <v>6.566408226172693E-2</v>
      </c>
      <c r="K48" s="44">
        <v>-5.8066982684890078E-2</v>
      </c>
      <c r="L48" s="44">
        <v>2.9244063265321699E-2</v>
      </c>
      <c r="M48" s="44">
        <v>2.8429831475605068E-2</v>
      </c>
      <c r="N48" s="44">
        <v>1.1037923986528361E-2</v>
      </c>
      <c r="O48" s="44">
        <v>6.8285463125530299E-3</v>
      </c>
      <c r="P48" s="44">
        <v>-7.511205621950201E-2</v>
      </c>
      <c r="Q48" s="44">
        <v>0.18255580663391749</v>
      </c>
      <c r="R48" s="44">
        <v>8.8300369465168504E-3</v>
      </c>
      <c r="S48" s="44">
        <v>5.8062574164115199E-2</v>
      </c>
      <c r="T48" s="44">
        <v>1.9892726097560761E-2</v>
      </c>
      <c r="U48" s="44">
        <v>2.814913775011307E-2</v>
      </c>
      <c r="V48" s="44">
        <v>5.3678660964100677E-2</v>
      </c>
      <c r="W48" s="44">
        <v>3.5691738309971299E-2</v>
      </c>
      <c r="X48" s="44">
        <v>0.1948717557466948</v>
      </c>
      <c r="Y48" s="44">
        <v>2.9271911370899021E-2</v>
      </c>
      <c r="Z48" s="44">
        <v>0.1102056778231169</v>
      </c>
      <c r="AA48" s="44">
        <v>2.2783598785127031E-2</v>
      </c>
      <c r="AB48" s="44">
        <v>6.6789196444354548E-3</v>
      </c>
      <c r="AC48" s="44">
        <v>1.7196531294926709E-2</v>
      </c>
      <c r="AD48" s="44">
        <v>-1.3937803903112389E-3</v>
      </c>
      <c r="AE48" s="44">
        <v>8.9453665798698845E-2</v>
      </c>
      <c r="AF48" s="44">
        <v>8.4980811793106126E-2</v>
      </c>
      <c r="AG48" s="44">
        <v>0.19343906095287619</v>
      </c>
      <c r="AH48" s="44">
        <v>5.8223361454510236E-3</v>
      </c>
      <c r="AI48" s="44">
        <v>6.2870661857224341E-2</v>
      </c>
      <c r="AJ48" s="44">
        <v>3.255312735064253E-2</v>
      </c>
      <c r="AK48" s="44">
        <v>-9.861254681297571E-2</v>
      </c>
      <c r="AL48" s="44">
        <v>2.7787484827320741E-2</v>
      </c>
      <c r="AM48" s="44">
        <v>4.2971971549979893E-2</v>
      </c>
      <c r="AN48" s="44">
        <v>1.352949410524285E-2</v>
      </c>
      <c r="AO48" s="44">
        <v>2.8571516153767629E-2</v>
      </c>
      <c r="AP48" s="44">
        <v>-5.0563500415443767E-2</v>
      </c>
      <c r="AQ48" s="44">
        <v>-6.2546794957986096E-3</v>
      </c>
      <c r="AR48" s="44">
        <v>6.3913247924793692E-2</v>
      </c>
      <c r="AS48" s="44">
        <v>2.1766122792089341E-2</v>
      </c>
      <c r="AT48" s="44">
        <v>-2.3790689631596699E-2</v>
      </c>
      <c r="AU48" s="44">
        <v>3.6817697032930807E-2</v>
      </c>
      <c r="AV48" s="44">
        <v>2.1620335867099879E-2</v>
      </c>
      <c r="AW48" s="44">
        <v>9.1122157680742388E-2</v>
      </c>
      <c r="AX48" s="44">
        <v>7.549505497930098E-2</v>
      </c>
      <c r="AY48" s="44">
        <v>5.5505049946178893E-2</v>
      </c>
      <c r="AZ48" s="44">
        <v>2.8049471367328719E-2</v>
      </c>
    </row>
    <row r="49" spans="1:52" ht="16" x14ac:dyDescent="0.2">
      <c r="A49" s="39">
        <v>41609</v>
      </c>
      <c r="B49" s="43">
        <v>8.901215403890772E-3</v>
      </c>
      <c r="C49" s="43">
        <v>3.6657461743139219E-3</v>
      </c>
      <c r="D49" s="43">
        <v>5.4596730459048233E-2</v>
      </c>
      <c r="E49" s="43">
        <v>-0.22586204265726029</v>
      </c>
      <c r="F49" s="43">
        <v>0</v>
      </c>
      <c r="G49" s="43">
        <v>1.3134548857432151E-2</v>
      </c>
      <c r="H49" s="43">
        <v>7.3404676604845509E-2</v>
      </c>
      <c r="I49" s="43">
        <v>4.6048546345047743E-2</v>
      </c>
      <c r="J49" s="43">
        <v>-5.1104217133313479E-2</v>
      </c>
      <c r="K49" s="43">
        <v>5.5529344643265199E-2</v>
      </c>
      <c r="L49" s="43">
        <v>2.017316232814181E-2</v>
      </c>
      <c r="M49" s="43">
        <v>9.6444649365557522E-2</v>
      </c>
      <c r="N49" s="43">
        <v>-2.4451121247265339E-2</v>
      </c>
      <c r="O49" s="43">
        <v>4.7618896019680827E-2</v>
      </c>
      <c r="P49" s="43">
        <v>1.7212563524487079E-2</v>
      </c>
      <c r="Q49" s="43">
        <v>5.1458009375780163E-2</v>
      </c>
      <c r="R49" s="43">
        <v>0.10454653842433249</v>
      </c>
      <c r="S49" s="43">
        <v>4.243923319260956E-2</v>
      </c>
      <c r="T49" s="43">
        <v>5.9894824298428739E-2</v>
      </c>
      <c r="U49" s="43">
        <v>5.7682603715790932E-2</v>
      </c>
      <c r="V49" s="43">
        <v>4.924801437263282E-2</v>
      </c>
      <c r="W49" s="43">
        <v>2.5715998360438471E-2</v>
      </c>
      <c r="X49" s="43">
        <v>8.6480745192130559E-2</v>
      </c>
      <c r="Y49" s="43">
        <v>-3.2431762629044791E-2</v>
      </c>
      <c r="Z49" s="43">
        <v>2.2020066211976049E-2</v>
      </c>
      <c r="AA49" s="43">
        <v>2.7867707306652671E-2</v>
      </c>
      <c r="AB49" s="43">
        <v>8.3256632329385516E-2</v>
      </c>
      <c r="AC49" s="43">
        <v>-3.491774110484291E-3</v>
      </c>
      <c r="AD49" s="43">
        <v>6.1314286682410124E-3</v>
      </c>
      <c r="AE49" s="43">
        <v>1.9167906709602891E-3</v>
      </c>
      <c r="AF49" s="43">
        <v>-1.8882315498740979E-2</v>
      </c>
      <c r="AG49" s="43">
        <v>3.0805559356273271E-2</v>
      </c>
      <c r="AH49" s="43">
        <v>1.217653654623674E-2</v>
      </c>
      <c r="AI49" s="43">
        <v>-2.6666573035945E-3</v>
      </c>
      <c r="AJ49" s="43">
        <v>2.6923413349414501E-2</v>
      </c>
      <c r="AK49" s="43">
        <v>2.1894265588873859E-2</v>
      </c>
      <c r="AL49" s="43">
        <v>7.077671858876311E-2</v>
      </c>
      <c r="AM49" s="43">
        <v>-3.336474808108536E-2</v>
      </c>
      <c r="AN49" s="43">
        <v>9.1649662095049766E-2</v>
      </c>
      <c r="AO49" s="43">
        <v>4.5138816452691577E-2</v>
      </c>
      <c r="AP49" s="43">
        <v>-1.826185211799336E-2</v>
      </c>
      <c r="AQ49" s="43">
        <v>5.2202880488440677E-2</v>
      </c>
      <c r="AR49" s="43">
        <v>9.1056735774954767E-3</v>
      </c>
      <c r="AS49" s="43">
        <v>-6.3363386218360018E-2</v>
      </c>
      <c r="AT49" s="43">
        <v>2.568120032739873E-3</v>
      </c>
      <c r="AU49" s="43">
        <v>1.3517620417854429E-2</v>
      </c>
      <c r="AV49" s="43">
        <v>2.1162726616095421E-2</v>
      </c>
      <c r="AW49" s="43">
        <v>1.486359708615548E-2</v>
      </c>
      <c r="AX49" s="43">
        <v>3.6780909120197158E-2</v>
      </c>
      <c r="AY49" s="43">
        <v>-2.2984188417673131E-2</v>
      </c>
      <c r="AZ49" s="43">
        <v>2.356279197544597E-2</v>
      </c>
    </row>
    <row r="50" spans="1:52" ht="16" x14ac:dyDescent="0.2">
      <c r="A50" s="41">
        <v>41640</v>
      </c>
      <c r="B50" s="44">
        <v>-0.10769665155920261</v>
      </c>
      <c r="C50" s="44">
        <v>-3.82219438921928E-2</v>
      </c>
      <c r="D50" s="44">
        <v>-1.152308665828772E-2</v>
      </c>
      <c r="E50" s="44">
        <v>5.300661854201083E-2</v>
      </c>
      <c r="F50" s="44">
        <v>4.2688802464579963E-2</v>
      </c>
      <c r="G50" s="44">
        <v>-0.100554225873038</v>
      </c>
      <c r="H50" s="44">
        <v>4.0895690523674588E-2</v>
      </c>
      <c r="I50" s="44">
        <v>4.7718984139587972E-2</v>
      </c>
      <c r="J50" s="44">
        <v>-5.5956748413268698E-2</v>
      </c>
      <c r="K50" s="44">
        <v>-1.572346876955677E-2</v>
      </c>
      <c r="L50" s="44">
        <v>-0.10631646916741901</v>
      </c>
      <c r="M50" s="44">
        <v>-4.9607009204124093E-2</v>
      </c>
      <c r="N50" s="44">
        <v>-3.5772018997018651E-2</v>
      </c>
      <c r="O50" s="44">
        <v>-6.0416098459668333E-2</v>
      </c>
      <c r="P50" s="44">
        <v>-1.4392164565539821E-2</v>
      </c>
      <c r="Q50" s="44">
        <v>0.122349100489112</v>
      </c>
      <c r="R50" s="44">
        <v>0.17785599740436009</v>
      </c>
      <c r="S50" s="44">
        <v>6.6506638280094954E-2</v>
      </c>
      <c r="T50" s="44">
        <v>-0.10346025344814939</v>
      </c>
      <c r="U50" s="44">
        <v>5.376948623638933E-2</v>
      </c>
      <c r="V50" s="44">
        <v>-7.4128363821626797E-2</v>
      </c>
      <c r="W50" s="44">
        <v>-6.6674553783249491E-2</v>
      </c>
      <c r="X50" s="44">
        <v>0.29409431682450232</v>
      </c>
      <c r="Y50" s="44">
        <v>-3.4065249225719962E-2</v>
      </c>
      <c r="Z50" s="44">
        <v>-4.7160030978038558E-2</v>
      </c>
      <c r="AA50" s="44">
        <v>-8.4483354067378724E-2</v>
      </c>
      <c r="AB50" s="44">
        <v>2.719077514546497E-2</v>
      </c>
      <c r="AC50" s="44">
        <v>-2.947533326722818E-2</v>
      </c>
      <c r="AD50" s="44">
        <v>-1.446210661179714E-2</v>
      </c>
      <c r="AE50" s="44">
        <v>-5.7428083461628983E-2</v>
      </c>
      <c r="AF50" s="44">
        <v>1.1493852685470211E-2</v>
      </c>
      <c r="AG50" s="44">
        <v>5.9310241625058158E-2</v>
      </c>
      <c r="AH50" s="44">
        <v>7.3697412673393803E-2</v>
      </c>
      <c r="AI50" s="44">
        <v>3.3028136031156841E-2</v>
      </c>
      <c r="AJ50" s="44">
        <v>-1.9975010890166511E-2</v>
      </c>
      <c r="AK50" s="44">
        <v>-0.13602932464329631</v>
      </c>
      <c r="AL50" s="44">
        <v>0.1014795887624993</v>
      </c>
      <c r="AM50" s="44">
        <v>-5.1717864348805653E-2</v>
      </c>
      <c r="AN50" s="44">
        <v>-0.118703460454942</v>
      </c>
      <c r="AO50" s="44">
        <v>-8.084159067811314E-2</v>
      </c>
      <c r="AP50" s="44">
        <v>4.8984466012581773E-2</v>
      </c>
      <c r="AQ50" s="44">
        <v>-5.1020500000818148E-2</v>
      </c>
      <c r="AR50" s="44">
        <v>-4.0432697628922648E-4</v>
      </c>
      <c r="AS50" s="44">
        <v>4.8503097289022801E-2</v>
      </c>
      <c r="AT50" s="44">
        <v>-1.3079958412584029E-3</v>
      </c>
      <c r="AU50" s="44">
        <v>-9.9952923216478751E-2</v>
      </c>
      <c r="AV50" s="44">
        <v>-2.7588480330830611E-2</v>
      </c>
      <c r="AW50" s="44">
        <v>-4.0106322793176052E-2</v>
      </c>
      <c r="AX50" s="44">
        <v>3.7142936136912441E-2</v>
      </c>
      <c r="AY50" s="44">
        <v>-5.0959245535535443E-2</v>
      </c>
      <c r="AZ50" s="44">
        <v>-3.5582905955811588E-2</v>
      </c>
    </row>
    <row r="51" spans="1:52" ht="16" x14ac:dyDescent="0.2">
      <c r="A51" s="39">
        <v>41671</v>
      </c>
      <c r="B51" s="43">
        <v>5.751101930665059E-2</v>
      </c>
      <c r="C51" s="43">
        <v>8.5106586503672865E-2</v>
      </c>
      <c r="D51" s="43">
        <v>0.1594863802285893</v>
      </c>
      <c r="E51" s="43">
        <v>0.21658210539021261</v>
      </c>
      <c r="F51" s="43">
        <v>4.7936862571813732E-2</v>
      </c>
      <c r="G51" s="43">
        <v>9.5068055480667102E-3</v>
      </c>
      <c r="H51" s="43">
        <v>3.2584830984463409E-2</v>
      </c>
      <c r="I51" s="43">
        <v>-5.0688366467532497E-2</v>
      </c>
      <c r="J51" s="43">
        <v>4.2325829316350212E-2</v>
      </c>
      <c r="K51" s="43">
        <v>-5.0204035177717774E-3</v>
      </c>
      <c r="L51" s="43">
        <v>4.2321811388554183E-2</v>
      </c>
      <c r="M51" s="43">
        <v>0.1129316466070589</v>
      </c>
      <c r="N51" s="43">
        <v>7.1712391014851162E-2</v>
      </c>
      <c r="O51" s="43">
        <v>-3.716512655581039E-3</v>
      </c>
      <c r="P51" s="43">
        <v>0.14633266435663289</v>
      </c>
      <c r="Q51" s="43">
        <v>2.616276531170536E-2</v>
      </c>
      <c r="R51" s="43">
        <v>4.9710333224616932E-2</v>
      </c>
      <c r="S51" s="43">
        <v>8.1235888538353729E-2</v>
      </c>
      <c r="T51" s="43">
        <v>2.2384631742887962E-2</v>
      </c>
      <c r="U51" s="43">
        <v>2.9365838079190128E-2</v>
      </c>
      <c r="V51" s="43">
        <v>1.7620324614069819E-2</v>
      </c>
      <c r="W51" s="43">
        <v>6.7404230078792704E-2</v>
      </c>
      <c r="X51" s="43">
        <v>-1.9230686376557889E-2</v>
      </c>
      <c r="Y51" s="43">
        <v>4.874940924484128E-2</v>
      </c>
      <c r="Z51" s="43">
        <v>2.6373132384579279E-2</v>
      </c>
      <c r="AA51" s="43">
        <v>1.00476872087325E-2</v>
      </c>
      <c r="AB51" s="43">
        <v>1.302193663980544E-3</v>
      </c>
      <c r="AC51" s="43">
        <v>1.90148525307785E-2</v>
      </c>
      <c r="AD51" s="43">
        <v>4.7736808252295537E-2</v>
      </c>
      <c r="AE51" s="43">
        <v>4.3713703199468101E-2</v>
      </c>
      <c r="AF51" s="43">
        <v>2.0012754625569281E-2</v>
      </c>
      <c r="AG51" s="43">
        <v>4.9913050594672097E-2</v>
      </c>
      <c r="AH51" s="43">
        <v>2.0535120815736718E-3</v>
      </c>
      <c r="AI51" s="43">
        <v>-4.558381359999808E-2</v>
      </c>
      <c r="AJ51" s="43">
        <v>0.1759864924211354</v>
      </c>
      <c r="AK51" s="43">
        <v>5.3623841188212167E-2</v>
      </c>
      <c r="AL51" s="43">
        <v>-7.0387015181632151E-3</v>
      </c>
      <c r="AM51" s="43">
        <v>2.662523099978098E-2</v>
      </c>
      <c r="AN51" s="43">
        <v>6.7883969500998731E-2</v>
      </c>
      <c r="AO51" s="43">
        <v>4.819272401665553E-2</v>
      </c>
      <c r="AP51" s="43">
        <v>6.2693882225857145E-2</v>
      </c>
      <c r="AQ51" s="43">
        <v>5.4319647553189521E-2</v>
      </c>
      <c r="AR51" s="43">
        <v>1.4416380459310041E-2</v>
      </c>
      <c r="AS51" s="43">
        <v>0.15215371037408601</v>
      </c>
      <c r="AT51" s="43">
        <v>9.7003553887763827E-2</v>
      </c>
      <c r="AU51" s="43">
        <v>7.4106397085028641E-2</v>
      </c>
      <c r="AV51" s="43">
        <v>6.0377221615412369E-2</v>
      </c>
      <c r="AW51" s="43">
        <v>6.9037158377936336E-2</v>
      </c>
      <c r="AX51" s="43">
        <v>4.0537661751823613E-2</v>
      </c>
      <c r="AY51" s="43">
        <v>2.6765353429381022E-4</v>
      </c>
      <c r="AZ51" s="43">
        <v>4.3117030178161597E-2</v>
      </c>
    </row>
    <row r="52" spans="1:52" ht="16" x14ac:dyDescent="0.2">
      <c r="A52" s="41">
        <v>41699</v>
      </c>
      <c r="B52" s="44">
        <v>1.995336388053515E-2</v>
      </c>
      <c r="C52" s="44">
        <v>-3.1925479808428643E-2</v>
      </c>
      <c r="D52" s="44">
        <v>-4.210985728262584E-2</v>
      </c>
      <c r="E52" s="44">
        <v>-0.19853967129273861</v>
      </c>
      <c r="F52" s="44">
        <v>-5.482912736848089E-3</v>
      </c>
      <c r="G52" s="44">
        <v>-7.1057666719973378E-2</v>
      </c>
      <c r="H52" s="44">
        <v>2.4749712479559038E-2</v>
      </c>
      <c r="I52" s="44">
        <v>-2.7505954500578911E-2</v>
      </c>
      <c r="J52" s="44">
        <v>-4.383585647150845E-2</v>
      </c>
      <c r="K52" s="44">
        <v>2.8440682038218371E-2</v>
      </c>
      <c r="L52" s="44">
        <v>3.1041699989444949E-2</v>
      </c>
      <c r="M52" s="44">
        <v>-9.1573295192254323E-3</v>
      </c>
      <c r="N52" s="44">
        <v>4.7421672849237151E-3</v>
      </c>
      <c r="O52" s="44">
        <v>2.3598178929523869E-2</v>
      </c>
      <c r="P52" s="44">
        <v>3.5635369544611661E-2</v>
      </c>
      <c r="Q52" s="44">
        <v>-0.4985835707444326</v>
      </c>
      <c r="R52" s="44">
        <v>-5.0827837552160908E-2</v>
      </c>
      <c r="S52" s="44">
        <v>-5.6600849464002456E-3</v>
      </c>
      <c r="T52" s="44">
        <v>1.649018168125771E-2</v>
      </c>
      <c r="U52" s="44">
        <v>-8.3198533714335721E-2</v>
      </c>
      <c r="V52" s="44">
        <v>-1.561992257353384E-2</v>
      </c>
      <c r="W52" s="44">
        <v>-2.9804374801802092E-2</v>
      </c>
      <c r="X52" s="44">
        <v>-0.1671335406385159</v>
      </c>
      <c r="Y52" s="44">
        <v>6.6326862634190631E-2</v>
      </c>
      <c r="Z52" s="44">
        <v>6.8461639375410277E-2</v>
      </c>
      <c r="AA52" s="44">
        <v>2.006071474393489E-2</v>
      </c>
      <c r="AB52" s="44">
        <v>3.9123432271803482E-2</v>
      </c>
      <c r="AC52" s="44">
        <v>3.026781864717543E-2</v>
      </c>
      <c r="AD52" s="44">
        <v>3.8474618905038449E-2</v>
      </c>
      <c r="AE52" s="44">
        <v>1.2013105299208741E-2</v>
      </c>
      <c r="AF52" s="44">
        <v>6.9955350581727416E-2</v>
      </c>
      <c r="AG52" s="44">
        <v>-2.1909804504704922E-2</v>
      </c>
      <c r="AH52" s="44">
        <v>4.6285587495926039E-2</v>
      </c>
      <c r="AI52" s="44">
        <v>-8.6859623580539447E-2</v>
      </c>
      <c r="AJ52" s="44">
        <v>-2.5571080985042349E-2</v>
      </c>
      <c r="AK52" s="44">
        <v>3.9116716896610004E-3</v>
      </c>
      <c r="AL52" s="44">
        <v>1.859610139150369E-3</v>
      </c>
      <c r="AM52" s="44">
        <v>2.466250395085345E-2</v>
      </c>
      <c r="AN52" s="44">
        <v>-6.968068029109431E-3</v>
      </c>
      <c r="AO52" s="44">
        <v>-1.9540239082867839E-2</v>
      </c>
      <c r="AP52" s="44">
        <v>-6.7078148293708839E-4</v>
      </c>
      <c r="AQ52" s="44">
        <v>-1.95181690735543E-2</v>
      </c>
      <c r="AR52" s="44">
        <v>5.2308726847142717E-2</v>
      </c>
      <c r="AS52" s="44">
        <v>-9.6902257422403548E-2</v>
      </c>
      <c r="AT52" s="44">
        <v>-1.6710059104725779E-2</v>
      </c>
      <c r="AU52" s="44">
        <v>-1.3179142969095611E-2</v>
      </c>
      <c r="AV52" s="44">
        <v>4.8932711958763697E-2</v>
      </c>
      <c r="AW52" s="44">
        <v>6.4918336979074232E-2</v>
      </c>
      <c r="AX52" s="44">
        <v>4.0359194941383292E-2</v>
      </c>
      <c r="AY52" s="44">
        <v>2.976025400987958E-2</v>
      </c>
      <c r="AZ52" s="44">
        <v>6.9321654182270542E-3</v>
      </c>
    </row>
    <row r="53" spans="1:52" ht="16" x14ac:dyDescent="0.2">
      <c r="A53" s="39">
        <v>41730</v>
      </c>
      <c r="B53" s="43">
        <v>9.939554172625753E-2</v>
      </c>
      <c r="C53" s="43">
        <v>1.194731895634016E-2</v>
      </c>
      <c r="D53" s="43">
        <v>-6.1606318355123868E-2</v>
      </c>
      <c r="E53" s="43">
        <v>-6.2038978098010067E-2</v>
      </c>
      <c r="F53" s="43">
        <v>-9.3968133072102167E-2</v>
      </c>
      <c r="G53" s="43">
        <v>-9.5846860045059157E-2</v>
      </c>
      <c r="H53" s="43">
        <v>6.6927476140966613E-2</v>
      </c>
      <c r="I53" s="43">
        <v>3.4372314371731161E-2</v>
      </c>
      <c r="J53" s="43">
        <v>3.5816612021482452E-2</v>
      </c>
      <c r="K53" s="43">
        <v>3.9586310429985838E-2</v>
      </c>
      <c r="L53" s="43">
        <v>5.5587918806766501E-2</v>
      </c>
      <c r="M53" s="43">
        <v>-9.1169168745666163E-3</v>
      </c>
      <c r="N53" s="43">
        <v>-3.1021295758423269E-2</v>
      </c>
      <c r="O53" s="43">
        <v>2.0658388510907288E-2</v>
      </c>
      <c r="P53" s="43">
        <v>4.0086798537131152E-4</v>
      </c>
      <c r="Q53" s="43">
        <v>0</v>
      </c>
      <c r="R53" s="43">
        <v>-1.3692198462715971E-2</v>
      </c>
      <c r="S53" s="43">
        <v>1.075694796722493E-2</v>
      </c>
      <c r="T53" s="43">
        <v>3.8624674287559342E-2</v>
      </c>
      <c r="U53" s="43">
        <v>-4.111193925367207E-2</v>
      </c>
      <c r="V53" s="43">
        <v>-2.4595806028646972E-2</v>
      </c>
      <c r="W53" s="43">
        <v>4.8021700238898291E-3</v>
      </c>
      <c r="X53" s="43">
        <v>-9.2675617377599551E-2</v>
      </c>
      <c r="Y53" s="43">
        <v>3.1151208106768861E-2</v>
      </c>
      <c r="Z53" s="43">
        <v>-7.2099647659818356E-2</v>
      </c>
      <c r="AA53" s="43">
        <v>5.5095335430750618E-2</v>
      </c>
      <c r="AB53" s="43">
        <v>-5.6703592791707003E-4</v>
      </c>
      <c r="AC53" s="43">
        <v>3.4173017341348373E-2</v>
      </c>
      <c r="AD53" s="43">
        <v>-3.9835334036608328E-2</v>
      </c>
      <c r="AE53" s="43">
        <v>-4.4441081991194453E-3</v>
      </c>
      <c r="AF53" s="43">
        <v>-1.439391707095128E-2</v>
      </c>
      <c r="AG53" s="43">
        <v>0.10397288744270949</v>
      </c>
      <c r="AH53" s="43">
        <v>4.4237006681814961E-2</v>
      </c>
      <c r="AI53" s="43">
        <v>-3.0954701093132919E-2</v>
      </c>
      <c r="AJ53" s="43">
        <v>3.1267338984813493E-2</v>
      </c>
      <c r="AK53" s="43">
        <v>1.97606738269267E-2</v>
      </c>
      <c r="AL53" s="43">
        <v>7.6621625640602264E-2</v>
      </c>
      <c r="AM53" s="43">
        <v>3.2376671388093303E-2</v>
      </c>
      <c r="AN53" s="43">
        <v>5.989496702298891E-2</v>
      </c>
      <c r="AO53" s="43">
        <v>1.758506177025887E-2</v>
      </c>
      <c r="AP53" s="43">
        <v>-4.8984519108823399E-3</v>
      </c>
      <c r="AQ53" s="43">
        <v>-0.1025824478009623</v>
      </c>
      <c r="AR53" s="43">
        <v>-1.90170787693833E-3</v>
      </c>
      <c r="AS53" s="43">
        <v>-1.128945718890517E-2</v>
      </c>
      <c r="AT53" s="43">
        <v>1.374727668560771E-2</v>
      </c>
      <c r="AU53" s="43">
        <v>-4.072562172317451E-2</v>
      </c>
      <c r="AV53" s="43">
        <v>-2.9979774450699551E-2</v>
      </c>
      <c r="AW53" s="43">
        <v>-8.4766587706211483E-2</v>
      </c>
      <c r="AX53" s="43">
        <v>1.476087375944357E-2</v>
      </c>
      <c r="AY53" s="43">
        <v>4.2915071473546902E-2</v>
      </c>
      <c r="AZ53" s="43">
        <v>6.2007891534141546E-3</v>
      </c>
    </row>
    <row r="54" spans="1:52" ht="16" x14ac:dyDescent="0.2">
      <c r="A54" s="41">
        <v>41760</v>
      </c>
      <c r="B54" s="44">
        <v>7.8709864789123341E-2</v>
      </c>
      <c r="C54" s="44">
        <v>3.2782823364069243E-2</v>
      </c>
      <c r="D54" s="44">
        <v>4.6198773743924892E-2</v>
      </c>
      <c r="E54" s="44">
        <v>5.2728924393920629E-2</v>
      </c>
      <c r="F54" s="44">
        <v>4.3639974792472058E-2</v>
      </c>
      <c r="G54" s="44">
        <v>2.7685498010651569E-2</v>
      </c>
      <c r="H54" s="44">
        <v>-3.0075717104344871E-2</v>
      </c>
      <c r="I54" s="44">
        <v>8.5012233710775043E-3</v>
      </c>
      <c r="J54" s="44">
        <v>6.0100823270101689E-3</v>
      </c>
      <c r="K54" s="44">
        <v>6.5339161297079063E-2</v>
      </c>
      <c r="L54" s="44">
        <v>-1.339863799385632E-2</v>
      </c>
      <c r="M54" s="44">
        <v>5.8860785003009841E-2</v>
      </c>
      <c r="N54" s="44">
        <v>4.34821476298064E-2</v>
      </c>
      <c r="O54" s="44">
        <v>-1.506409609053461E-2</v>
      </c>
      <c r="P54" s="44">
        <v>7.9592057590685217E-2</v>
      </c>
      <c r="Q54" s="44">
        <v>-6.4971757500554284E-2</v>
      </c>
      <c r="R54" s="44">
        <v>3.2138489508983792E-2</v>
      </c>
      <c r="S54" s="44">
        <v>7.9214034980780612E-2</v>
      </c>
      <c r="T54" s="44">
        <v>-3.718650546142066E-3</v>
      </c>
      <c r="U54" s="44">
        <v>6.874448769888386E-2</v>
      </c>
      <c r="V54" s="44">
        <v>3.3489083076967412E-3</v>
      </c>
      <c r="W54" s="44">
        <v>9.0556378482207212E-3</v>
      </c>
      <c r="X54" s="44">
        <v>2.0387105349507939E-2</v>
      </c>
      <c r="Y54" s="44">
        <v>8.6592235951752361E-3</v>
      </c>
      <c r="Z54" s="44">
        <v>-7.3239555641360088E-3</v>
      </c>
      <c r="AA54" s="44">
        <v>2.942172108709951E-3</v>
      </c>
      <c r="AB54" s="44">
        <v>-4.0655986193590683E-2</v>
      </c>
      <c r="AC54" s="44">
        <v>8.5577199217068411E-3</v>
      </c>
      <c r="AD54" s="44">
        <v>3.7572348363878787E-2</v>
      </c>
      <c r="AE54" s="44">
        <v>-2.2632119299702551E-3</v>
      </c>
      <c r="AF54" s="44">
        <v>2.051593930406681E-2</v>
      </c>
      <c r="AG54" s="44">
        <v>9.4563686575650729E-2</v>
      </c>
      <c r="AH54" s="44">
        <v>-1.7621545175865779E-2</v>
      </c>
      <c r="AI54" s="44">
        <v>3.9314803058482672E-2</v>
      </c>
      <c r="AJ54" s="44">
        <v>3.3433137885972908E-2</v>
      </c>
      <c r="AK54" s="44">
        <v>-1.312128644844357E-2</v>
      </c>
      <c r="AL54" s="44">
        <v>2.0088685900845778E-2</v>
      </c>
      <c r="AM54" s="44">
        <v>-2.1320744783669299E-2</v>
      </c>
      <c r="AN54" s="44">
        <v>-9.1502547627396735E-3</v>
      </c>
      <c r="AO54" s="44">
        <v>1.267277106103948E-2</v>
      </c>
      <c r="AP54" s="44">
        <v>2.1658528608991871E-2</v>
      </c>
      <c r="AQ54" s="44">
        <v>0.1332932773199709</v>
      </c>
      <c r="AR54" s="44">
        <v>2.2106330743449251E-2</v>
      </c>
      <c r="AS54" s="44">
        <v>3.3918077684721659E-2</v>
      </c>
      <c r="AT54" s="44">
        <v>2.668900934161389E-2</v>
      </c>
      <c r="AU54" s="44">
        <v>-6.1367247946869652E-2</v>
      </c>
      <c r="AV54" s="44">
        <v>3.3663194755052528E-2</v>
      </c>
      <c r="AW54" s="44">
        <v>6.1166920499125872E-2</v>
      </c>
      <c r="AX54" s="44">
        <v>4.6421078753486673E-2</v>
      </c>
      <c r="AY54" s="44">
        <v>-3.0920773683516641E-2</v>
      </c>
      <c r="AZ54" s="44">
        <v>2.103028007328045E-2</v>
      </c>
    </row>
    <row r="55" spans="1:52" ht="16" x14ac:dyDescent="0.2">
      <c r="A55" s="39">
        <v>41791</v>
      </c>
      <c r="B55" s="43">
        <v>2.7661751482749519E-2</v>
      </c>
      <c r="C55" s="43">
        <v>2.22439105853196E-2</v>
      </c>
      <c r="D55" s="43">
        <v>0.1211651624402572</v>
      </c>
      <c r="E55" s="43">
        <v>-1.2302314755260561E-2</v>
      </c>
      <c r="F55" s="43">
        <v>2.0518922171343101E-2</v>
      </c>
      <c r="G55" s="43">
        <v>3.9129787648106262E-2</v>
      </c>
      <c r="H55" s="43">
        <v>6.2994686177491932E-2</v>
      </c>
      <c r="I55" s="43">
        <v>3.2644491909999962E-2</v>
      </c>
      <c r="J55" s="43">
        <v>-7.4121560777132833E-3</v>
      </c>
      <c r="K55" s="43">
        <v>9.3425182489514924E-3</v>
      </c>
      <c r="L55" s="43">
        <v>6.3196941157094066E-2</v>
      </c>
      <c r="M55" s="43">
        <v>2.0592461097864941E-2</v>
      </c>
      <c r="N55" s="43">
        <v>2.2285720222359421E-2</v>
      </c>
      <c r="O55" s="43">
        <v>-5.5450210277797618E-3</v>
      </c>
      <c r="P55" s="43">
        <v>0.10453671305458689</v>
      </c>
      <c r="Q55" s="43">
        <v>2.4169233688099201E-2</v>
      </c>
      <c r="R55" s="43">
        <v>2.6623669354209459E-2</v>
      </c>
      <c r="S55" s="43">
        <v>-1.3291104822930829E-2</v>
      </c>
      <c r="T55" s="43">
        <v>-1.0944994935179749E-2</v>
      </c>
      <c r="U55" s="43">
        <v>2.2776154660716589E-2</v>
      </c>
      <c r="V55" s="43">
        <v>4.7744266947662213E-2</v>
      </c>
      <c r="W55" s="43">
        <v>1.4999822746962099E-2</v>
      </c>
      <c r="X55" s="43">
        <v>0.13905145299165039</v>
      </c>
      <c r="Y55" s="43">
        <v>3.1145656288917412E-2</v>
      </c>
      <c r="Z55" s="43">
        <v>3.6890338275050061E-2</v>
      </c>
      <c r="AA55" s="43">
        <v>4.3230726110859097E-2</v>
      </c>
      <c r="AB55" s="43">
        <v>2.135318888004889E-3</v>
      </c>
      <c r="AC55" s="43">
        <v>-6.8025648620002599E-3</v>
      </c>
      <c r="AD55" s="43">
        <v>4.4732171965668373E-2</v>
      </c>
      <c r="AE55" s="43">
        <v>4.7634577647666321E-2</v>
      </c>
      <c r="AF55" s="43">
        <v>1.856352638496284E-2</v>
      </c>
      <c r="AG55" s="43">
        <v>0.15250079754571419</v>
      </c>
      <c r="AH55" s="43">
        <v>5.2588017922705621E-2</v>
      </c>
      <c r="AI55" s="43">
        <v>-1.3239423534257E-2</v>
      </c>
      <c r="AJ55" s="43">
        <v>-2.42104990746238E-2</v>
      </c>
      <c r="AK55" s="43">
        <v>8.438570551400626E-2</v>
      </c>
      <c r="AL55" s="43">
        <v>5.5667851302625422E-2</v>
      </c>
      <c r="AM55" s="43">
        <v>-2.7231160803745099E-2</v>
      </c>
      <c r="AN55" s="43">
        <v>3.9924282863930127E-3</v>
      </c>
      <c r="AO55" s="43">
        <v>-2.1615424483260929E-2</v>
      </c>
      <c r="AP55" s="43">
        <v>-2.3141664672113871E-3</v>
      </c>
      <c r="AQ55" s="43">
        <v>2.6274190970253519E-2</v>
      </c>
      <c r="AR55" s="43">
        <v>-1.0370983709596099E-2</v>
      </c>
      <c r="AS55" s="43">
        <v>-7.9782269576429421E-2</v>
      </c>
      <c r="AT55" s="43">
        <v>1.1240266716576739E-2</v>
      </c>
      <c r="AU55" s="43">
        <v>-2.3874921206417651E-2</v>
      </c>
      <c r="AV55" s="43">
        <v>1.7241513892004571E-2</v>
      </c>
      <c r="AW55" s="43">
        <v>3.1448326545437937E-2</v>
      </c>
      <c r="AX55" s="43">
        <v>5.6321972244042229E-3</v>
      </c>
      <c r="AY55" s="43">
        <v>-2.2143989723245831E-2</v>
      </c>
      <c r="AZ55" s="43">
        <v>1.905833174947014E-2</v>
      </c>
    </row>
    <row r="56" spans="1:52" ht="16" x14ac:dyDescent="0.2">
      <c r="A56" s="41">
        <v>41821</v>
      </c>
      <c r="B56" s="44">
        <v>2.873139307040384E-2</v>
      </c>
      <c r="C56" s="44">
        <v>3.5352223003402461E-2</v>
      </c>
      <c r="D56" s="44">
        <v>-4.2979554783290852E-2</v>
      </c>
      <c r="E56" s="44">
        <v>-1.5124562255843689E-2</v>
      </c>
      <c r="F56" s="44">
        <v>7.6201948742653292E-2</v>
      </c>
      <c r="G56" s="44">
        <v>-3.6301521991122021E-2</v>
      </c>
      <c r="H56" s="44">
        <v>-6.7018452523861294E-2</v>
      </c>
      <c r="I56" s="44">
        <v>9.3132147810925936E-4</v>
      </c>
      <c r="J56" s="44">
        <v>2.3760904297074999E-2</v>
      </c>
      <c r="K56" s="44">
        <v>2.3041774711151541E-2</v>
      </c>
      <c r="L56" s="44">
        <v>-1.003428721352928E-2</v>
      </c>
      <c r="M56" s="44">
        <v>1.6327576681671729E-3</v>
      </c>
      <c r="N56" s="44">
        <v>-2.5238151858556601E-2</v>
      </c>
      <c r="O56" s="44">
        <v>-4.0837562378867709E-2</v>
      </c>
      <c r="P56" s="44">
        <v>-6.2481463808545017E-2</v>
      </c>
      <c r="Q56" s="44">
        <v>0.1887905855750012</v>
      </c>
      <c r="R56" s="44">
        <v>1.031939941933357E-2</v>
      </c>
      <c r="S56" s="44">
        <v>7.2456879544846586E-3</v>
      </c>
      <c r="T56" s="44">
        <v>-4.2998570152852911E-2</v>
      </c>
      <c r="U56" s="44">
        <v>-8.757037716873417E-3</v>
      </c>
      <c r="V56" s="44">
        <v>3.2429307215103842E-2</v>
      </c>
      <c r="W56" s="44">
        <v>-1.3586176724385E-3</v>
      </c>
      <c r="X56" s="44">
        <v>-0.15715802883962571</v>
      </c>
      <c r="Y56" s="44">
        <v>-4.3299336197180398E-2</v>
      </c>
      <c r="Z56" s="44">
        <v>7.8641125336407214E-3</v>
      </c>
      <c r="AA56" s="44">
        <v>-7.2473895704348479E-2</v>
      </c>
      <c r="AB56" s="44">
        <v>-4.1671300942241467E-2</v>
      </c>
      <c r="AC56" s="44">
        <v>-6.134648271877563E-2</v>
      </c>
      <c r="AD56" s="44">
        <v>-2.7027241877060071E-2</v>
      </c>
      <c r="AE56" s="44">
        <v>3.343079543157268E-3</v>
      </c>
      <c r="AF56" s="44">
        <v>3.5011771529957603E-2</v>
      </c>
      <c r="AG56" s="44">
        <v>-7.2837597646128294E-2</v>
      </c>
      <c r="AH56" s="44">
        <v>-8.3820995324796144E-2</v>
      </c>
      <c r="AI56" s="44">
        <v>6.8262415396399101E-2</v>
      </c>
      <c r="AJ56" s="44">
        <v>-5.6095041692745262E-2</v>
      </c>
      <c r="AK56" s="44">
        <v>-0.13080732616368221</v>
      </c>
      <c r="AL56" s="44">
        <v>-4.5307688803755693E-2</v>
      </c>
      <c r="AM56" s="44">
        <v>-8.3002450987110787E-3</v>
      </c>
      <c r="AN56" s="44">
        <v>-8.5739192520579266E-2</v>
      </c>
      <c r="AO56" s="44">
        <v>-7.3255879457346018E-2</v>
      </c>
      <c r="AP56" s="44">
        <v>-6.8142906272812276E-3</v>
      </c>
      <c r="AQ56" s="44">
        <v>-6.0309462431765271E-2</v>
      </c>
      <c r="AR56" s="44">
        <v>-6.9192107725012386E-2</v>
      </c>
      <c r="AS56" s="44">
        <v>0.1194816873907445</v>
      </c>
      <c r="AT56" s="44">
        <v>-3.2858240005003698E-3</v>
      </c>
      <c r="AU56" s="44">
        <v>2.6337051317339988E-3</v>
      </c>
      <c r="AV56" s="44">
        <v>-2.6053423564027959E-2</v>
      </c>
      <c r="AW56" s="44">
        <v>-8.5629893047374228E-3</v>
      </c>
      <c r="AX56" s="44">
        <v>-1.443612764744895E-2</v>
      </c>
      <c r="AY56" s="44">
        <v>-1.9848030066905938E-2</v>
      </c>
      <c r="AZ56" s="44">
        <v>-1.507983084534237E-2</v>
      </c>
    </row>
    <row r="57" spans="1:52" ht="16" x14ac:dyDescent="0.2">
      <c r="A57" s="39">
        <v>41852</v>
      </c>
      <c r="B57" s="43">
        <v>7.7508698424264555E-2</v>
      </c>
      <c r="C57" s="43">
        <v>2.8491996023309869E-3</v>
      </c>
      <c r="D57" s="43">
        <v>3.8267170048792883E-2</v>
      </c>
      <c r="E57" s="43">
        <v>-1.0840098361988961E-2</v>
      </c>
      <c r="F57" s="43">
        <v>9.9387753910034515E-2</v>
      </c>
      <c r="G57" s="43">
        <v>8.3229482092592955E-2</v>
      </c>
      <c r="H57" s="43">
        <v>8.2580311017905528E-2</v>
      </c>
      <c r="I57" s="43">
        <v>1.842567148626939E-2</v>
      </c>
      <c r="J57" s="43">
        <v>3.011734350117878E-2</v>
      </c>
      <c r="K57" s="43">
        <v>-9.5128254976164506E-3</v>
      </c>
      <c r="L57" s="43">
        <v>1.0137876426711269E-2</v>
      </c>
      <c r="M57" s="43">
        <v>4.6576862869919022E-2</v>
      </c>
      <c r="N57" s="43">
        <v>5.7956317289350023E-2</v>
      </c>
      <c r="O57" s="43">
        <v>1.276198387412464E-2</v>
      </c>
      <c r="P57" s="43">
        <v>4.0202797341060137E-3</v>
      </c>
      <c r="Q57" s="43">
        <v>2.729519874701869E-2</v>
      </c>
      <c r="R57" s="43">
        <v>0.1030287457218062</v>
      </c>
      <c r="S57" s="43">
        <v>5.5493341330130619E-2</v>
      </c>
      <c r="T57" s="43">
        <v>3.3002072075363653E-2</v>
      </c>
      <c r="U57" s="43">
        <v>4.8484482819226571E-3</v>
      </c>
      <c r="V57" s="43">
        <v>3.9309233488322493E-2</v>
      </c>
      <c r="W57" s="43">
        <v>0.15646241527492849</v>
      </c>
      <c r="X57" s="43">
        <v>0.13937357810907461</v>
      </c>
      <c r="Y57" s="43">
        <v>4.3376560305815832E-2</v>
      </c>
      <c r="Z57" s="43">
        <v>3.086552757868977E-2</v>
      </c>
      <c r="AA57" s="43">
        <v>6.1847476542194579E-2</v>
      </c>
      <c r="AB57" s="43">
        <v>-3.5813772634507253E-2</v>
      </c>
      <c r="AC57" s="43">
        <v>-3.2808210492174528E-4</v>
      </c>
      <c r="AD57" s="43">
        <v>3.4175577125441947E-2</v>
      </c>
      <c r="AE57" s="43">
        <v>6.0915207708309049E-2</v>
      </c>
      <c r="AF57" s="43">
        <v>5.9169208073288848E-2</v>
      </c>
      <c r="AG57" s="43">
        <v>6.7102842656260098E-2</v>
      </c>
      <c r="AH57" s="43">
        <v>5.6487004005756791E-2</v>
      </c>
      <c r="AI57" s="43">
        <v>8.5478759177498809E-2</v>
      </c>
      <c r="AJ57" s="43">
        <v>0.116345049126944</v>
      </c>
      <c r="AK57" s="43">
        <v>2.828232520497154E-2</v>
      </c>
      <c r="AL57" s="43">
        <v>8.9554481659170682E-2</v>
      </c>
      <c r="AM57" s="43">
        <v>7.4883555866097851E-2</v>
      </c>
      <c r="AN57" s="43">
        <v>8.9232620816814823E-3</v>
      </c>
      <c r="AO57" s="43">
        <v>0.1079046620017194</v>
      </c>
      <c r="AP57" s="43">
        <v>3.1854369346759892E-3</v>
      </c>
      <c r="AQ57" s="43">
        <v>6.9117004916322999E-2</v>
      </c>
      <c r="AR57" s="43">
        <v>3.7994965687029758E-2</v>
      </c>
      <c r="AS57" s="43">
        <v>0.1082791006512598</v>
      </c>
      <c r="AT57" s="43">
        <v>6.0374413694687767E-2</v>
      </c>
      <c r="AU57" s="43">
        <v>0.1222027413540816</v>
      </c>
      <c r="AV57" s="43">
        <v>4.1729372759422789E-2</v>
      </c>
      <c r="AW57" s="43">
        <v>6.9463396859713145E-2</v>
      </c>
      <c r="AX57" s="43">
        <v>7.5892727706108776E-2</v>
      </c>
      <c r="AY57" s="43">
        <v>3.285372501481687E-2</v>
      </c>
      <c r="AZ57" s="43">
        <v>3.7655295579825283E-2</v>
      </c>
    </row>
    <row r="58" spans="1:52" ht="16" x14ac:dyDescent="0.2">
      <c r="A58" s="41">
        <v>41883</v>
      </c>
      <c r="B58" s="44">
        <v>-1.7073249902282091E-2</v>
      </c>
      <c r="C58" s="44">
        <v>-1.538830065475727E-2</v>
      </c>
      <c r="D58" s="44">
        <v>-3.7691224297085053E-2</v>
      </c>
      <c r="E58" s="44">
        <v>-0.105022798042172</v>
      </c>
      <c r="F58" s="44">
        <v>7.7485316065233354E-3</v>
      </c>
      <c r="G58" s="44">
        <v>-4.8961770890879941E-2</v>
      </c>
      <c r="H58" s="44">
        <v>-9.2050732251640066E-2</v>
      </c>
      <c r="I58" s="44">
        <v>-1.308441632996182E-2</v>
      </c>
      <c r="J58" s="44">
        <v>3.5018180598617388E-2</v>
      </c>
      <c r="K58" s="44">
        <v>1.4879289200728559E-2</v>
      </c>
      <c r="L58" s="44">
        <v>-7.8253744712458939E-2</v>
      </c>
      <c r="M58" s="44">
        <v>-9.4570786585261857E-3</v>
      </c>
      <c r="N58" s="44">
        <v>2.4907212918729989E-3</v>
      </c>
      <c r="O58" s="44">
        <v>-2.2493092993990601E-2</v>
      </c>
      <c r="P58" s="44">
        <v>-9.8835264096233E-2</v>
      </c>
      <c r="Q58" s="44">
        <v>-0.63043477760095379</v>
      </c>
      <c r="R58" s="44">
        <v>-4.3884406719518883E-2</v>
      </c>
      <c r="S58" s="44">
        <v>3.1156256970635621E-2</v>
      </c>
      <c r="T58" s="44">
        <v>-5.5287023951974268E-3</v>
      </c>
      <c r="U58" s="44">
        <v>1.038895031760023E-2</v>
      </c>
      <c r="V58" s="44">
        <v>2.4901253353095228E-2</v>
      </c>
      <c r="W58" s="44">
        <v>-1.386650676869094E-2</v>
      </c>
      <c r="X58" s="44">
        <v>-9.5018476999733648E-2</v>
      </c>
      <c r="Y58" s="44">
        <v>2.7572202793059161E-2</v>
      </c>
      <c r="Z58" s="44">
        <v>1.3288500943572149E-2</v>
      </c>
      <c r="AA58" s="44">
        <v>2.9980829831478761E-2</v>
      </c>
      <c r="AB58" s="44">
        <v>-3.895572629103472E-2</v>
      </c>
      <c r="AC58" s="44">
        <v>1.1630515328672651E-2</v>
      </c>
      <c r="AD58" s="44">
        <v>-2.9757190701022011E-2</v>
      </c>
      <c r="AE58" s="44">
        <v>7.5780298253138589E-3</v>
      </c>
      <c r="AF58" s="44">
        <v>2.0471279665219552E-2</v>
      </c>
      <c r="AG58" s="44">
        <v>5.0920282649928213E-2</v>
      </c>
      <c r="AH58" s="44">
        <v>-4.641996009230176E-2</v>
      </c>
      <c r="AI58" s="44">
        <v>1.897533643753713E-2</v>
      </c>
      <c r="AJ58" s="44">
        <v>-5.1413709594882673E-2</v>
      </c>
      <c r="AK58" s="44">
        <v>-6.3111058362756989E-2</v>
      </c>
      <c r="AL58" s="44">
        <v>-6.6239100157783892E-2</v>
      </c>
      <c r="AM58" s="44">
        <v>7.5802730590264211E-3</v>
      </c>
      <c r="AN58" s="44">
        <v>-1.1688331264209539E-2</v>
      </c>
      <c r="AO58" s="44">
        <v>-8.8335191360207399E-2</v>
      </c>
      <c r="AP58" s="44">
        <v>-7.1279814635596406E-2</v>
      </c>
      <c r="AQ58" s="44">
        <v>-4.1388855361414352E-2</v>
      </c>
      <c r="AR58" s="44">
        <v>-1.7477001182406249E-2</v>
      </c>
      <c r="AS58" s="44">
        <v>2.870509741295146E-2</v>
      </c>
      <c r="AT58" s="44">
        <v>4.0346318719832741E-3</v>
      </c>
      <c r="AU58" s="44">
        <v>-7.3816032721082392E-3</v>
      </c>
      <c r="AV58" s="44">
        <v>-1.016973675484989E-2</v>
      </c>
      <c r="AW58" s="44">
        <v>-7.2904875229251598E-4</v>
      </c>
      <c r="AX58" s="44">
        <v>2.9923187903413861E-2</v>
      </c>
      <c r="AY58" s="44">
        <v>1.284752908560427E-2</v>
      </c>
      <c r="AZ58" s="44">
        <v>-1.551383724945399E-2</v>
      </c>
    </row>
    <row r="59" spans="1:52" ht="16" x14ac:dyDescent="0.2">
      <c r="A59" s="39">
        <v>41913</v>
      </c>
      <c r="B59" s="43">
        <v>7.1960403825527264E-2</v>
      </c>
      <c r="C59" s="43">
        <v>5.3656966285564378E-2</v>
      </c>
      <c r="D59" s="43">
        <v>1.3441252671776651E-2</v>
      </c>
      <c r="E59" s="43">
        <v>1.3775533291261469E-2</v>
      </c>
      <c r="F59" s="43">
        <v>0.15463457834723029</v>
      </c>
      <c r="G59" s="43">
        <v>-5.266095960625472E-2</v>
      </c>
      <c r="H59" s="43">
        <v>3.1833908888357687E-2</v>
      </c>
      <c r="I59" s="43">
        <v>2.91928263187935E-2</v>
      </c>
      <c r="J59" s="43">
        <v>6.4235616826387343E-2</v>
      </c>
      <c r="K59" s="43">
        <v>-2.781059778628359E-2</v>
      </c>
      <c r="L59" s="43">
        <v>5.2796936765042712E-3</v>
      </c>
      <c r="M59" s="43">
        <v>2.63955030666192E-2</v>
      </c>
      <c r="N59" s="43">
        <v>-3.1350546382511779E-2</v>
      </c>
      <c r="O59" s="43">
        <v>2.3649216952010391E-2</v>
      </c>
      <c r="P59" s="43">
        <v>-3.8165952072848557E-2</v>
      </c>
      <c r="Q59" s="43">
        <v>0.1111111630541577</v>
      </c>
      <c r="R59" s="43">
        <v>3.5708317074661038E-2</v>
      </c>
      <c r="S59" s="43">
        <v>0.1053714408793245</v>
      </c>
      <c r="T59" s="43">
        <v>7.416168643725074E-3</v>
      </c>
      <c r="U59" s="43">
        <v>-3.4907734075281138E-2</v>
      </c>
      <c r="V59" s="43">
        <v>3.4973096970400741E-2</v>
      </c>
      <c r="W59" s="43">
        <v>6.3004455710012675E-2</v>
      </c>
      <c r="X59" s="43">
        <v>0.36717632215426099</v>
      </c>
      <c r="Y59" s="43">
        <v>1.116398366776861E-2</v>
      </c>
      <c r="Z59" s="43">
        <v>1.0748507637667879E-2</v>
      </c>
      <c r="AA59" s="43">
        <v>-1.8283733395162979E-2</v>
      </c>
      <c r="AB59" s="43">
        <v>0.17324373752019029</v>
      </c>
      <c r="AC59" s="43">
        <v>-1.1391065805895771E-2</v>
      </c>
      <c r="AD59" s="43">
        <v>0.1056858852204374</v>
      </c>
      <c r="AE59" s="43">
        <v>1.394331927322146E-2</v>
      </c>
      <c r="AF59" s="43">
        <v>1.2726395402762771E-2</v>
      </c>
      <c r="AG59" s="43">
        <v>-3.4150749541149723E-2</v>
      </c>
      <c r="AH59" s="43">
        <v>6.7533277608526232E-2</v>
      </c>
      <c r="AI59" s="43">
        <v>4.1780727179707711E-4</v>
      </c>
      <c r="AJ59" s="43">
        <v>5.9078262441074392E-2</v>
      </c>
      <c r="AK59" s="43">
        <v>7.8256856606897962E-2</v>
      </c>
      <c r="AL59" s="43">
        <v>-9.1813728624530411E-2</v>
      </c>
      <c r="AM59" s="43">
        <v>5.0147117914188348E-2</v>
      </c>
      <c r="AN59" s="43">
        <v>0.1128340043003329</v>
      </c>
      <c r="AO59" s="43">
        <v>0.1167701314423808</v>
      </c>
      <c r="AP59" s="43">
        <v>0.1047745063554297</v>
      </c>
      <c r="AQ59" s="43">
        <v>8.9562937461841408E-2</v>
      </c>
      <c r="AR59" s="43">
        <v>5.0019875621856842E-2</v>
      </c>
      <c r="AS59" s="43">
        <v>9.2089261972062131E-2</v>
      </c>
      <c r="AT59" s="43">
        <v>4.8267219778624908E-2</v>
      </c>
      <c r="AU59" s="43">
        <v>7.0137173490303351E-2</v>
      </c>
      <c r="AV59" s="43">
        <v>4.865951516998468E-2</v>
      </c>
      <c r="AW59" s="43">
        <v>0.1015649054100187</v>
      </c>
      <c r="AX59" s="43">
        <v>7.4063709817798751E-2</v>
      </c>
      <c r="AY59" s="43">
        <v>-2.6153345054573669E-3</v>
      </c>
      <c r="AZ59" s="43">
        <v>2.3201460667203081E-2</v>
      </c>
    </row>
    <row r="60" spans="1:52" ht="16" x14ac:dyDescent="0.2">
      <c r="A60" s="41">
        <v>41944</v>
      </c>
      <c r="B60" s="44">
        <v>0.1059786452143794</v>
      </c>
      <c r="C60" s="44">
        <v>2.110537830855419E-2</v>
      </c>
      <c r="D60" s="44">
        <v>5.0770071579429248E-2</v>
      </c>
      <c r="E60" s="44">
        <v>0.16155002259156939</v>
      </c>
      <c r="F60" s="44">
        <v>2.3194475067634949E-2</v>
      </c>
      <c r="G60" s="44">
        <v>0.1086230255185467</v>
      </c>
      <c r="H60" s="44">
        <v>-7.9873869634856653E-3</v>
      </c>
      <c r="I60" s="44">
        <v>3.053301406596165E-2</v>
      </c>
      <c r="J60" s="44">
        <v>6.8374009098227884E-2</v>
      </c>
      <c r="K60" s="44">
        <v>0.1295463101020706</v>
      </c>
      <c r="L60" s="44">
        <v>-8.3954832424587678E-2</v>
      </c>
      <c r="M60" s="44">
        <v>1.2366089469586511E-2</v>
      </c>
      <c r="N60" s="44">
        <v>-2.0498486380074898E-2</v>
      </c>
      <c r="O60" s="44">
        <v>2.4589342638161589E-3</v>
      </c>
      <c r="P60" s="44">
        <v>-8.7637729776444906E-2</v>
      </c>
      <c r="Q60" s="44">
        <v>-2.3529458788438151E-2</v>
      </c>
      <c r="R60" s="44">
        <v>5.0496006789404017E-2</v>
      </c>
      <c r="S60" s="44">
        <v>4.0068902518962668E-2</v>
      </c>
      <c r="T60" s="44">
        <v>2.6346362647310159E-2</v>
      </c>
      <c r="U60" s="44">
        <v>-3.308858533796033E-2</v>
      </c>
      <c r="V60" s="44">
        <v>-5.1501054555566084E-3</v>
      </c>
      <c r="W60" s="44">
        <v>1.9278142812601651E-2</v>
      </c>
      <c r="X60" s="44">
        <v>0.1266031285752123</v>
      </c>
      <c r="Y60" s="44">
        <v>1.09018914329837E-2</v>
      </c>
      <c r="Z60" s="44">
        <v>-5.2911406073729017E-3</v>
      </c>
      <c r="AA60" s="44">
        <v>7.7838181522897676E-2</v>
      </c>
      <c r="AB60" s="44">
        <v>5.7825838007410368E-3</v>
      </c>
      <c r="AC60" s="44">
        <v>4.1990871333534407E-2</v>
      </c>
      <c r="AD60" s="44">
        <v>8.377351157483659E-2</v>
      </c>
      <c r="AE60" s="44">
        <v>6.5806678076647529E-3</v>
      </c>
      <c r="AF60" s="44">
        <v>2.4740357572546889E-2</v>
      </c>
      <c r="AG60" s="44">
        <v>8.6431041082798643E-2</v>
      </c>
      <c r="AH60" s="44">
        <v>4.8976183507833733E-2</v>
      </c>
      <c r="AI60" s="44">
        <v>-5.8412120457039807E-3</v>
      </c>
      <c r="AJ60" s="44">
        <v>7.7725464511383846E-2</v>
      </c>
      <c r="AK60" s="44">
        <v>-0.1041599431186369</v>
      </c>
      <c r="AL60" s="44">
        <v>-8.1099553590084916E-2</v>
      </c>
      <c r="AM60" s="44">
        <v>3.6209571927856572E-2</v>
      </c>
      <c r="AN60" s="44">
        <v>2.0776922047905041E-2</v>
      </c>
      <c r="AO60" s="44">
        <v>3.337117620613395E-3</v>
      </c>
      <c r="AP60" s="44">
        <v>1.512618446879577E-2</v>
      </c>
      <c r="AQ60" s="44">
        <v>0.12723096842615481</v>
      </c>
      <c r="AR60" s="44">
        <v>-6.6027771702660831E-2</v>
      </c>
      <c r="AS60" s="44">
        <v>5.6867922591435471E-2</v>
      </c>
      <c r="AT60" s="44">
        <v>6.9123988021584815E-2</v>
      </c>
      <c r="AU60" s="44">
        <v>4.7716569253517298E-2</v>
      </c>
      <c r="AV60" s="44">
        <v>9.5851880730932093E-2</v>
      </c>
      <c r="AW60" s="44">
        <v>3.8101216342132371E-2</v>
      </c>
      <c r="AX60" s="44">
        <v>6.8305016015253184E-3</v>
      </c>
      <c r="AY60" s="44">
        <v>0.1477646200545524</v>
      </c>
      <c r="AZ60" s="44">
        <v>2.4533588646314941E-2</v>
      </c>
    </row>
    <row r="61" spans="1:52" ht="16" x14ac:dyDescent="0.2">
      <c r="A61" s="39">
        <v>41974</v>
      </c>
      <c r="B61" s="43">
        <v>-7.1891440897205117E-2</v>
      </c>
      <c r="C61" s="43">
        <v>1.145820149007637E-2</v>
      </c>
      <c r="D61" s="43">
        <v>-1.330080554932833E-2</v>
      </c>
      <c r="E61" s="43">
        <v>5.1559815337578918E-2</v>
      </c>
      <c r="F61" s="43">
        <v>-3.6416317418914712E-2</v>
      </c>
      <c r="G61" s="43">
        <v>-8.3540004082348074E-2</v>
      </c>
      <c r="H61" s="43">
        <v>-9.0158822174808306E-2</v>
      </c>
      <c r="I61" s="43">
        <v>1.7005738938529639E-2</v>
      </c>
      <c r="J61" s="43">
        <v>-2.6030347866732311E-3</v>
      </c>
      <c r="K61" s="43">
        <v>6.5119934795594414E-3</v>
      </c>
      <c r="L61" s="43">
        <v>3.0403279843215451E-2</v>
      </c>
      <c r="M61" s="43">
        <v>3.1101014222779669E-2</v>
      </c>
      <c r="N61" s="43">
        <v>-3.7625703998578792E-2</v>
      </c>
      <c r="O61" s="43">
        <v>-3.1686202959306353E-2</v>
      </c>
      <c r="P61" s="43">
        <v>6.1693053174378447E-2</v>
      </c>
      <c r="Q61" s="43">
        <v>-0.13253006856904109</v>
      </c>
      <c r="R61" s="43">
        <v>9.9078779712649112E-3</v>
      </c>
      <c r="S61" s="43">
        <v>-5.3247143754784683E-2</v>
      </c>
      <c r="T61" s="43">
        <v>-3.7073873499194783E-2</v>
      </c>
      <c r="U61" s="43">
        <v>-3.3547045383102943E-2</v>
      </c>
      <c r="V61" s="43">
        <v>2.8767304797046919E-2</v>
      </c>
      <c r="W61" s="43">
        <v>6.1079861299523357E-2</v>
      </c>
      <c r="X61" s="43">
        <v>-3.2296523399670152E-2</v>
      </c>
      <c r="Y61" s="43">
        <v>-3.3995265585702428E-2</v>
      </c>
      <c r="Z61" s="43">
        <v>4.0226286496073183E-2</v>
      </c>
      <c r="AA61" s="43">
        <v>-5.8219953365523103E-2</v>
      </c>
      <c r="AB61" s="43">
        <v>-2.4906580652946712E-2</v>
      </c>
      <c r="AC61" s="43">
        <v>-3.2124180584313773E-2</v>
      </c>
      <c r="AD61" s="43">
        <v>-1.8544957764373701E-2</v>
      </c>
      <c r="AE61" s="43">
        <v>0.1028996464693779</v>
      </c>
      <c r="AF61" s="43">
        <v>-2.8446016002550149E-2</v>
      </c>
      <c r="AG61" s="43">
        <v>-2.6147346950945231E-2</v>
      </c>
      <c r="AH61" s="43">
        <v>1.820093625212782E-2</v>
      </c>
      <c r="AI61" s="43">
        <v>-2.5851648445275991E-2</v>
      </c>
      <c r="AJ61" s="43">
        <v>-4.3872601867909422E-2</v>
      </c>
      <c r="AK61" s="43">
        <v>-6.2190961706742882E-2</v>
      </c>
      <c r="AL61" s="43">
        <v>-8.0687101814251538E-2</v>
      </c>
      <c r="AM61" s="43">
        <v>7.2986221361832637E-3</v>
      </c>
      <c r="AN61" s="43">
        <v>-6.1982501637758425E-4</v>
      </c>
      <c r="AO61" s="43">
        <v>-7.8713969192303446E-2</v>
      </c>
      <c r="AP61" s="43">
        <v>2.575220358207209E-2</v>
      </c>
      <c r="AQ61" s="43">
        <v>9.9506286073042682E-2</v>
      </c>
      <c r="AR61" s="43">
        <v>1.961578670248643E-2</v>
      </c>
      <c r="AS61" s="43">
        <v>-1.40829335961774E-2</v>
      </c>
      <c r="AT61" s="43">
        <v>7.4246120520547354E-2</v>
      </c>
      <c r="AU61" s="43">
        <v>3.6577835232696421E-2</v>
      </c>
      <c r="AV61" s="43">
        <v>-1.7457043004597939E-2</v>
      </c>
      <c r="AW61" s="43">
        <v>2.8806320109110439E-2</v>
      </c>
      <c r="AX61" s="43">
        <v>2.0210621545210691E-2</v>
      </c>
      <c r="AY61" s="43">
        <v>-1.3482263431871869E-2</v>
      </c>
      <c r="AZ61" s="43">
        <v>-4.1885875159970443E-3</v>
      </c>
    </row>
    <row r="62" spans="1:52" ht="16" x14ac:dyDescent="0.2">
      <c r="A62" s="41">
        <v>42005</v>
      </c>
      <c r="B62" s="44">
        <v>6.1424576348880322E-2</v>
      </c>
      <c r="C62" s="44">
        <v>-5.1288610374478072E-4</v>
      </c>
      <c r="D62" s="44">
        <v>-3.5350753819892167E-2</v>
      </c>
      <c r="E62" s="44">
        <v>-8.6114549368264459E-2</v>
      </c>
      <c r="F62" s="44">
        <v>-4.4133430330326018E-2</v>
      </c>
      <c r="G62" s="44">
        <v>0.14235538228773409</v>
      </c>
      <c r="H62" s="44">
        <v>-0.1191336642963042</v>
      </c>
      <c r="I62" s="44">
        <v>-8.0170224307551718E-2</v>
      </c>
      <c r="J62" s="44">
        <v>8.7478545715962142E-3</v>
      </c>
      <c r="K62" s="44">
        <v>-4.5602288624068683E-2</v>
      </c>
      <c r="L62" s="44">
        <v>-8.6022200268297211E-2</v>
      </c>
      <c r="M62" s="44">
        <v>-3.4292400688555102E-2</v>
      </c>
      <c r="N62" s="44">
        <v>-7.1757891111354777E-3</v>
      </c>
      <c r="O62" s="44">
        <v>-7.7595624281304842E-2</v>
      </c>
      <c r="P62" s="44">
        <v>-3.1104769603523711E-2</v>
      </c>
      <c r="Q62" s="44">
        <v>0.29861106282031291</v>
      </c>
      <c r="R62" s="44">
        <v>-0.14447764465207921</v>
      </c>
      <c r="S62" s="44">
        <v>-2.766954850528669E-2</v>
      </c>
      <c r="T62" s="44">
        <v>-5.4610629095159353E-2</v>
      </c>
      <c r="U62" s="44">
        <v>1.29839980353863E-2</v>
      </c>
      <c r="V62" s="44">
        <v>-0.1105090667620775</v>
      </c>
      <c r="W62" s="44">
        <v>-5.2395543432538494E-3</v>
      </c>
      <c r="X62" s="44">
        <v>9.027490656574555E-2</v>
      </c>
      <c r="Y62" s="44">
        <v>-4.2363930478650502E-2</v>
      </c>
      <c r="Z62" s="44">
        <v>-0.12544245377521579</v>
      </c>
      <c r="AA62" s="44">
        <v>-2.4869581765821769E-2</v>
      </c>
      <c r="AB62" s="44">
        <v>7.9310732584068067E-3</v>
      </c>
      <c r="AC62" s="44">
        <v>-1.344730726828147E-2</v>
      </c>
      <c r="AD62" s="44">
        <v>-1.108051930215825E-2</v>
      </c>
      <c r="AE62" s="44">
        <v>-0.12608705726901681</v>
      </c>
      <c r="AF62" s="44">
        <v>-0.13024764900980729</v>
      </c>
      <c r="AG62" s="44">
        <v>-0.16395297021792779</v>
      </c>
      <c r="AH62" s="44">
        <v>2.7754229446799169E-2</v>
      </c>
      <c r="AI62" s="44">
        <v>-8.4251026729617373E-2</v>
      </c>
      <c r="AJ62" s="44">
        <v>-4.2393842969117079E-2</v>
      </c>
      <c r="AK62" s="44">
        <v>-0.1096752725616494</v>
      </c>
      <c r="AL62" s="44">
        <v>-0.1035498807794438</v>
      </c>
      <c r="AM62" s="44">
        <v>-6.806985859273984E-2</v>
      </c>
      <c r="AN62" s="44">
        <v>-9.6859220532726997E-2</v>
      </c>
      <c r="AO62" s="44">
        <v>1.0830227962578711E-2</v>
      </c>
      <c r="AP62" s="44">
        <v>4.9035981208480628E-2</v>
      </c>
      <c r="AQ62" s="44">
        <v>-0.1089972371334184</v>
      </c>
      <c r="AR62" s="44">
        <v>-0.15969311975674641</v>
      </c>
      <c r="AS62" s="44">
        <v>1.562452247619817E-2</v>
      </c>
      <c r="AT62" s="44">
        <v>3.1288108952837401E-2</v>
      </c>
      <c r="AU62" s="44">
        <v>-3.849502224215795E-2</v>
      </c>
      <c r="AV62" s="44">
        <v>5.8633289742895389E-3</v>
      </c>
      <c r="AW62" s="44">
        <v>5.1043489020525128E-2</v>
      </c>
      <c r="AX62" s="44">
        <v>-1.611700207034927E-2</v>
      </c>
      <c r="AY62" s="44">
        <v>-1.047949199402398E-2</v>
      </c>
      <c r="AZ62" s="44">
        <v>-3.104080583841062E-2</v>
      </c>
    </row>
    <row r="63" spans="1:52" ht="16" x14ac:dyDescent="0.2">
      <c r="A63" s="39">
        <v>42036</v>
      </c>
      <c r="B63" s="43">
        <v>0.1007766682026843</v>
      </c>
      <c r="C63" s="43">
        <v>5.8311432220963473E-2</v>
      </c>
      <c r="D63" s="43">
        <v>0.12790534110944859</v>
      </c>
      <c r="E63" s="43">
        <v>-1.2624016356761251E-2</v>
      </c>
      <c r="F63" s="43">
        <v>4.1343452979623267E-2</v>
      </c>
      <c r="G63" s="43">
        <v>7.2292888876024808E-2</v>
      </c>
      <c r="H63" s="43">
        <v>3.6638807016578623E-2</v>
      </c>
      <c r="I63" s="43">
        <v>0.1172157579300825</v>
      </c>
      <c r="J63" s="43">
        <v>6.4363727687098082E-2</v>
      </c>
      <c r="K63" s="43">
        <v>0.11907472758693349</v>
      </c>
      <c r="L63" s="43">
        <v>5.069790856478229E-2</v>
      </c>
      <c r="M63" s="43">
        <v>0.1442392319112018</v>
      </c>
      <c r="N63" s="43">
        <v>0.1134244420798058</v>
      </c>
      <c r="O63" s="43">
        <v>2.5515155276299328E-2</v>
      </c>
      <c r="P63" s="43">
        <v>7.7497093447047583E-3</v>
      </c>
      <c r="Q63" s="43">
        <v>0.56684495148978775</v>
      </c>
      <c r="R63" s="43">
        <v>5.8233290091896477E-2</v>
      </c>
      <c r="S63" s="43">
        <v>4.181366962706301E-2</v>
      </c>
      <c r="T63" s="43">
        <v>9.7903964449136849E-2</v>
      </c>
      <c r="U63" s="43">
        <v>4.6655980399356027E-2</v>
      </c>
      <c r="V63" s="43">
        <v>0.10426198007165551</v>
      </c>
      <c r="W63" s="43">
        <v>9.8927310753070152E-2</v>
      </c>
      <c r="X63" s="43">
        <v>7.7029224189823164E-2</v>
      </c>
      <c r="Y63" s="43">
        <v>3.0832984966535859E-2</v>
      </c>
      <c r="Z63" s="43">
        <v>0.12688504828582151</v>
      </c>
      <c r="AA63" s="43">
        <v>5.1736466883991472E-2</v>
      </c>
      <c r="AB63" s="43">
        <v>1.6555200692801589E-2</v>
      </c>
      <c r="AC63" s="43">
        <v>7.9180713558020033E-2</v>
      </c>
      <c r="AD63" s="43">
        <v>8.6694319666689612E-2</v>
      </c>
      <c r="AE63" s="43">
        <v>5.8562490962519087E-2</v>
      </c>
      <c r="AF63" s="43">
        <v>9.3120024292732806E-2</v>
      </c>
      <c r="AG63" s="43">
        <v>4.7830416371047679E-2</v>
      </c>
      <c r="AH63" s="43">
        <v>-4.5986284983899783E-2</v>
      </c>
      <c r="AI63" s="43">
        <v>2.248662372227472E-2</v>
      </c>
      <c r="AJ63" s="43">
        <v>0.153382579936133</v>
      </c>
      <c r="AK63" s="43">
        <v>4.6703703828776311E-2</v>
      </c>
      <c r="AL63" s="43">
        <v>5.2242434350515676E-3</v>
      </c>
      <c r="AM63" s="43">
        <v>9.9653703474114064E-3</v>
      </c>
      <c r="AN63" s="43">
        <v>5.9039289078507418E-2</v>
      </c>
      <c r="AO63" s="43">
        <v>-1.0714190833418289E-2</v>
      </c>
      <c r="AP63" s="43">
        <v>-5.383283261986016E-2</v>
      </c>
      <c r="AQ63" s="43">
        <v>0.23324431508781121</v>
      </c>
      <c r="AR63" s="43">
        <v>0.16090286708124671</v>
      </c>
      <c r="AS63" s="43">
        <v>-6.7679683311723249E-3</v>
      </c>
      <c r="AT63" s="43">
        <v>5.3804599565356437E-2</v>
      </c>
      <c r="AU63" s="43">
        <v>4.3651628382638703E-2</v>
      </c>
      <c r="AV63" s="43">
        <v>0.1000934945663656</v>
      </c>
      <c r="AW63" s="43">
        <v>6.9459015602106877E-2</v>
      </c>
      <c r="AX63" s="43">
        <v>3.0642118868950071E-2</v>
      </c>
      <c r="AY63" s="43">
        <v>-1.23559160289396E-2</v>
      </c>
      <c r="AZ63" s="43">
        <v>5.4892510890623303E-2</v>
      </c>
    </row>
    <row r="64" spans="1:52" ht="16" x14ac:dyDescent="0.2">
      <c r="A64" s="41">
        <v>42064</v>
      </c>
      <c r="B64" s="44">
        <v>-3.1371555588437287E-2</v>
      </c>
      <c r="C64" s="44">
        <v>-2.1954901346947889E-2</v>
      </c>
      <c r="D64" s="44">
        <v>-6.5233832266166525E-2</v>
      </c>
      <c r="E64" s="44">
        <v>5.1141591723395718E-2</v>
      </c>
      <c r="F64" s="44">
        <v>1.350518344544782E-2</v>
      </c>
      <c r="G64" s="44">
        <v>-2.1201593551299028E-2</v>
      </c>
      <c r="H64" s="44">
        <v>-3.4619926521777138E-2</v>
      </c>
      <c r="I64" s="44">
        <v>-4.4737179054854193E-2</v>
      </c>
      <c r="J64" s="44">
        <v>3.0892252379580491E-2</v>
      </c>
      <c r="K64" s="44">
        <v>-5.9956330373507123E-2</v>
      </c>
      <c r="L64" s="44">
        <v>-1.593522625623622E-2</v>
      </c>
      <c r="M64" s="44">
        <v>7.7824288011354437E-3</v>
      </c>
      <c r="N64" s="44">
        <v>-7.2343035757014276E-3</v>
      </c>
      <c r="O64" s="44">
        <v>-2.244480526289416E-2</v>
      </c>
      <c r="P64" s="44">
        <v>2.1958161408005109E-2</v>
      </c>
      <c r="Q64" s="44">
        <v>-0.1228669369666046</v>
      </c>
      <c r="R64" s="44">
        <v>-2.692177642425431E-2</v>
      </c>
      <c r="S64" s="44">
        <v>-2.1977596047243479E-2</v>
      </c>
      <c r="T64" s="44">
        <v>-4.5401964167422038E-2</v>
      </c>
      <c r="U64" s="44">
        <v>-1.4094540698644241E-2</v>
      </c>
      <c r="V64" s="44">
        <v>-9.5895370398547675E-3</v>
      </c>
      <c r="W64" s="44">
        <v>-4.8401262585049398E-3</v>
      </c>
      <c r="X64" s="44">
        <v>6.7676241016354499E-2</v>
      </c>
      <c r="Y64" s="44">
        <v>-1.8632738975196791E-2</v>
      </c>
      <c r="Z64" s="44">
        <v>-1.1423032447576481E-2</v>
      </c>
      <c r="AA64" s="44">
        <v>-5.5740084241081789E-2</v>
      </c>
      <c r="AB64" s="44">
        <v>-0.12936720944608329</v>
      </c>
      <c r="AC64" s="44">
        <v>-1.4762640413740419E-2</v>
      </c>
      <c r="AD64" s="44">
        <v>9.1217552772084876E-3</v>
      </c>
      <c r="AE64" s="44">
        <v>-2.7939662677959332E-3</v>
      </c>
      <c r="AF64" s="44">
        <v>-7.274785397604E-2</v>
      </c>
      <c r="AG64" s="44">
        <v>-0.1154223873655057</v>
      </c>
      <c r="AH64" s="44">
        <v>5.7026612485557848E-3</v>
      </c>
      <c r="AI64" s="44">
        <v>-8.2535548322934082E-2</v>
      </c>
      <c r="AJ64" s="44">
        <v>-5.1224361005311247E-2</v>
      </c>
      <c r="AK64" s="44">
        <v>-1.1003050638162541E-2</v>
      </c>
      <c r="AL64" s="44">
        <v>8.9922673885414195E-2</v>
      </c>
      <c r="AM64" s="44">
        <v>-3.7472235533582032E-2</v>
      </c>
      <c r="AN64" s="44">
        <v>-3.1868971619044777E-2</v>
      </c>
      <c r="AO64" s="44">
        <v>2.2863967603995009E-2</v>
      </c>
      <c r="AP64" s="44">
        <v>2.8624963029691749E-2</v>
      </c>
      <c r="AQ64" s="44">
        <v>4.5208601208973631E-2</v>
      </c>
      <c r="AR64" s="44">
        <v>-3.8146468619319578E-2</v>
      </c>
      <c r="AS64" s="44">
        <v>9.0953009531010931E-2</v>
      </c>
      <c r="AT64" s="44">
        <v>-2.4541714166206319E-3</v>
      </c>
      <c r="AU64" s="44">
        <v>2.0542057860462929E-2</v>
      </c>
      <c r="AV64" s="44">
        <v>-2.738090247351033E-2</v>
      </c>
      <c r="AW64" s="44">
        <v>4.4492999400076227E-2</v>
      </c>
      <c r="AX64" s="44">
        <v>-9.9368146730060447E-2</v>
      </c>
      <c r="AY64" s="44">
        <v>-1.4130497227500149E-2</v>
      </c>
      <c r="AZ64" s="44">
        <v>-1.7396107114219569E-2</v>
      </c>
    </row>
    <row r="65" spans="1:52" ht="16" x14ac:dyDescent="0.2">
      <c r="A65" s="39">
        <v>42095</v>
      </c>
      <c r="B65" s="43">
        <v>5.7861769865057422E-3</v>
      </c>
      <c r="C65" s="43">
        <v>7.0687951153047823E-3</v>
      </c>
      <c r="D65" s="43">
        <v>2.8671829147794311E-2</v>
      </c>
      <c r="E65" s="43">
        <v>0.16594264200094291</v>
      </c>
      <c r="F65" s="43">
        <v>-1.2136477979094781E-2</v>
      </c>
      <c r="G65" s="43">
        <v>0.13351256225666061</v>
      </c>
      <c r="H65" s="43">
        <v>9.4590160833737835E-2</v>
      </c>
      <c r="I65" s="43">
        <v>2.2843757415997871E-2</v>
      </c>
      <c r="J65" s="43">
        <v>-5.3192380294450059E-2</v>
      </c>
      <c r="K65" s="43">
        <v>4.7220812848819849E-2</v>
      </c>
      <c r="L65" s="43">
        <v>5.7915327676111739E-2</v>
      </c>
      <c r="M65" s="43">
        <v>3.651432790177811E-2</v>
      </c>
      <c r="N65" s="43">
        <v>-2.098269692110255E-2</v>
      </c>
      <c r="O65" s="43">
        <v>3.9032539948969491E-2</v>
      </c>
      <c r="P65" s="43">
        <v>8.1097541676441232E-2</v>
      </c>
      <c r="Q65" s="43">
        <v>0</v>
      </c>
      <c r="R65" s="43">
        <v>6.1597303386776707E-2</v>
      </c>
      <c r="S65" s="43">
        <v>1.6912360119883511E-2</v>
      </c>
      <c r="T65" s="43">
        <v>9.1495176919676124E-2</v>
      </c>
      <c r="U65" s="43">
        <v>-1.0690526047444139E-2</v>
      </c>
      <c r="V65" s="43">
        <v>4.4953704672507921E-2</v>
      </c>
      <c r="W65" s="43">
        <v>-5.8357730604467688E-2</v>
      </c>
      <c r="X65" s="43">
        <v>6.000436155637634E-2</v>
      </c>
      <c r="Y65" s="43">
        <v>-1.391667786540329E-2</v>
      </c>
      <c r="Z65" s="43">
        <v>5.1179774335533779E-2</v>
      </c>
      <c r="AA65" s="43">
        <v>2.4701366300594613E-4</v>
      </c>
      <c r="AB65" s="43">
        <v>3.8557059151850037E-2</v>
      </c>
      <c r="AC65" s="43">
        <v>-9.1335184219272225E-3</v>
      </c>
      <c r="AD65" s="43">
        <v>-4.5390572771793043E-2</v>
      </c>
      <c r="AE65" s="43">
        <v>4.9640412899396802E-2</v>
      </c>
      <c r="AF65" s="43">
        <v>0.19626178091660609</v>
      </c>
      <c r="AG65" s="43">
        <v>3.6859735532452031E-2</v>
      </c>
      <c r="AH65" s="43">
        <v>-2.998517378833521E-2</v>
      </c>
      <c r="AI65" s="43">
        <v>2.7011001722222931E-2</v>
      </c>
      <c r="AJ65" s="43">
        <v>6.0678351480520247E-2</v>
      </c>
      <c r="AK65" s="43">
        <v>2.1880103315418561E-2</v>
      </c>
      <c r="AL65" s="43">
        <v>9.6748986075791965E-3</v>
      </c>
      <c r="AM65" s="43">
        <v>-2.1850616320851061E-2</v>
      </c>
      <c r="AN65" s="43">
        <v>4.8831399589330804E-3</v>
      </c>
      <c r="AO65" s="43">
        <v>3.1764759736902633E-2</v>
      </c>
      <c r="AP65" s="43">
        <v>-7.7134725945646854E-2</v>
      </c>
      <c r="AQ65" s="43">
        <v>-4.5668979477161642E-2</v>
      </c>
      <c r="AR65" s="43">
        <v>-1.9325409364912231E-2</v>
      </c>
      <c r="AS65" s="43">
        <v>1.32452735075288E-2</v>
      </c>
      <c r="AT65" s="43">
        <v>-2.2847359515236861E-2</v>
      </c>
      <c r="AU65" s="43">
        <v>-7.8658083055284433E-2</v>
      </c>
      <c r="AV65" s="43">
        <v>-4.6270691674705433E-2</v>
      </c>
      <c r="AW65" s="43">
        <v>-5.8246559521167862E-2</v>
      </c>
      <c r="AX65" s="43">
        <v>-1.920419558614583E-2</v>
      </c>
      <c r="AY65" s="43">
        <v>-5.1063811892561588E-2</v>
      </c>
      <c r="AZ65" s="43">
        <v>8.5208198225352749E-3</v>
      </c>
    </row>
    <row r="66" spans="1:52" ht="16" x14ac:dyDescent="0.2">
      <c r="A66" s="41">
        <v>42125</v>
      </c>
      <c r="B66" s="44">
        <v>4.5339239226077188E-2</v>
      </c>
      <c r="C66" s="44">
        <v>4.6962596419735103E-2</v>
      </c>
      <c r="D66" s="44">
        <v>3.9836956042007321E-2</v>
      </c>
      <c r="E66" s="44">
        <v>4.3591656842115738E-2</v>
      </c>
      <c r="F66" s="44">
        <v>-5.57105127613855E-3</v>
      </c>
      <c r="G66" s="44">
        <v>1.7663210846626139E-2</v>
      </c>
      <c r="H66" s="44">
        <v>-1.795546028420281E-2</v>
      </c>
      <c r="I66" s="44">
        <v>1.211916632255616E-2</v>
      </c>
      <c r="J66" s="44">
        <v>-3.216106427911813E-3</v>
      </c>
      <c r="K66" s="44">
        <v>1.6649681457720829E-2</v>
      </c>
      <c r="L66" s="44">
        <v>-6.3331503783467968E-2</v>
      </c>
      <c r="M66" s="44">
        <v>1.5176647884467039E-2</v>
      </c>
      <c r="N66" s="44">
        <v>2.3843408799448799E-2</v>
      </c>
      <c r="O66" s="44">
        <v>3.3226167294154292E-2</v>
      </c>
      <c r="P66" s="44">
        <v>-0.1036890730814114</v>
      </c>
      <c r="Q66" s="44">
        <v>0.22568100279784661</v>
      </c>
      <c r="R66" s="44">
        <v>3.0077084898431531E-2</v>
      </c>
      <c r="S66" s="44">
        <v>2.0681512432006999E-2</v>
      </c>
      <c r="T66" s="44">
        <v>7.0162066379158006E-3</v>
      </c>
      <c r="U66" s="44">
        <v>-6.2867037541907136E-3</v>
      </c>
      <c r="V66" s="44">
        <v>5.3014308186591252E-2</v>
      </c>
      <c r="W66" s="44">
        <v>4.1503327097527798E-2</v>
      </c>
      <c r="X66" s="44">
        <v>0.1336969676220319</v>
      </c>
      <c r="Y66" s="44">
        <v>1.683702723098901E-2</v>
      </c>
      <c r="Z66" s="44">
        <v>3.9835481168420062E-2</v>
      </c>
      <c r="AA66" s="44">
        <v>9.8619238381405516E-3</v>
      </c>
      <c r="AB66" s="44">
        <v>2.062324046209096E-2</v>
      </c>
      <c r="AC66" s="44">
        <v>2.2128023788179352E-3</v>
      </c>
      <c r="AD66" s="44">
        <v>2.511802094551463E-2</v>
      </c>
      <c r="AE66" s="44">
        <v>2.385463358744366E-2</v>
      </c>
      <c r="AF66" s="44">
        <v>-3.0334129870053461E-2</v>
      </c>
      <c r="AG66" s="44">
        <v>-7.1098093187383924E-3</v>
      </c>
      <c r="AH66" s="44">
        <v>2.17572921028002E-2</v>
      </c>
      <c r="AI66" s="44">
        <v>-7.8620805185403597E-2</v>
      </c>
      <c r="AJ66" s="44">
        <v>1.461211818126751E-3</v>
      </c>
      <c r="AK66" s="44">
        <v>-7.3405365131102296E-2</v>
      </c>
      <c r="AL66" s="44">
        <v>-0.12848285642543769</v>
      </c>
      <c r="AM66" s="44">
        <v>-1.408656452994916E-2</v>
      </c>
      <c r="AN66" s="44">
        <v>1.419224420376541E-2</v>
      </c>
      <c r="AO66" s="44">
        <v>0.15051307023087829</v>
      </c>
      <c r="AP66" s="44">
        <v>-1.517425228367575E-2</v>
      </c>
      <c r="AQ66" s="44">
        <v>-6.4006768091494415E-2</v>
      </c>
      <c r="AR66" s="44">
        <v>2.4706077134318161E-2</v>
      </c>
      <c r="AS66" s="44">
        <v>0.1204477682497016</v>
      </c>
      <c r="AT66" s="44">
        <v>3.9030313010688163E-2</v>
      </c>
      <c r="AU66" s="44">
        <v>6.6482228522524167E-4</v>
      </c>
      <c r="AV66" s="44">
        <v>3.1544062777981052E-2</v>
      </c>
      <c r="AW66" s="44">
        <v>7.9084421601026689E-2</v>
      </c>
      <c r="AX66" s="44">
        <v>-4.4975191435236317E-2</v>
      </c>
      <c r="AY66" s="44">
        <v>-4.2424934698102712E-2</v>
      </c>
      <c r="AZ66" s="44">
        <v>1.049138230458979E-2</v>
      </c>
    </row>
    <row r="67" spans="1:52" ht="16" x14ac:dyDescent="0.2">
      <c r="A67" s="39">
        <v>42156</v>
      </c>
      <c r="B67" s="43">
        <v>-3.7227446507410389E-2</v>
      </c>
      <c r="C67" s="43">
        <v>9.8768958405399676E-3</v>
      </c>
      <c r="D67" s="43">
        <v>2.427621554231885E-2</v>
      </c>
      <c r="E67" s="43">
        <v>-5.3552166120871547E-3</v>
      </c>
      <c r="F67" s="43">
        <v>-1.753461473394435E-2</v>
      </c>
      <c r="G67" s="43">
        <v>1.1322602269977279E-2</v>
      </c>
      <c r="H67" s="43">
        <v>-5.8608752121448449E-3</v>
      </c>
      <c r="I67" s="43">
        <v>3.2952356747571347E-2</v>
      </c>
      <c r="J67" s="43">
        <v>-5.2808467076663979E-2</v>
      </c>
      <c r="K67" s="43">
        <v>-6.3118565677618865E-2</v>
      </c>
      <c r="L67" s="43">
        <v>-6.3397959846959173E-2</v>
      </c>
      <c r="M67" s="43">
        <v>3.4157767781063157E-2</v>
      </c>
      <c r="N67" s="43">
        <v>-1.096023631054532E-2</v>
      </c>
      <c r="O67" s="43">
        <v>-8.0915182115256168E-2</v>
      </c>
      <c r="P67" s="43">
        <v>-1.2853453921425669E-2</v>
      </c>
      <c r="Q67" s="43">
        <v>0.19365075448503191</v>
      </c>
      <c r="R67" s="43">
        <v>-4.2485510888382261E-2</v>
      </c>
      <c r="S67" s="43">
        <v>1.5857509492894769E-2</v>
      </c>
      <c r="T67" s="43">
        <v>-1.7381805454570239E-2</v>
      </c>
      <c r="U67" s="43">
        <v>-9.6824339893911704E-3</v>
      </c>
      <c r="V67" s="43">
        <v>1.260967658742307E-2</v>
      </c>
      <c r="W67" s="43">
        <v>2.6947409619546558E-3</v>
      </c>
      <c r="X67" s="43">
        <v>-5.392648533019484E-2</v>
      </c>
      <c r="Y67" s="43">
        <v>-2.676226345470023E-2</v>
      </c>
      <c r="Z67" s="43">
        <v>3.0100075700901559E-2</v>
      </c>
      <c r="AA67" s="43">
        <v>-3.4335068605575232E-2</v>
      </c>
      <c r="AB67" s="43">
        <v>9.1507142965847166E-2</v>
      </c>
      <c r="AC67" s="43">
        <v>-8.9648170004852368E-3</v>
      </c>
      <c r="AD67" s="43">
        <v>-2.416145645097589E-2</v>
      </c>
      <c r="AE67" s="43">
        <v>1.5444531979607049E-2</v>
      </c>
      <c r="AF67" s="43">
        <v>-5.7831975508813249E-2</v>
      </c>
      <c r="AG67" s="43">
        <v>-0.3254564705567623</v>
      </c>
      <c r="AH67" s="43">
        <v>-4.2114363258065828E-2</v>
      </c>
      <c r="AI67" s="43">
        <v>-5.5089831390973121E-2</v>
      </c>
      <c r="AJ67" s="43">
        <v>-9.1278574249587408E-2</v>
      </c>
      <c r="AK67" s="43">
        <v>-8.2873882995459391E-2</v>
      </c>
      <c r="AL67" s="43">
        <v>-5.8205715844061867E-2</v>
      </c>
      <c r="AM67" s="43">
        <v>-1.9132698099508789E-3</v>
      </c>
      <c r="AN67" s="43">
        <v>-3.4044642840240218E-2</v>
      </c>
      <c r="AO67" s="43">
        <v>-5.7482647664509279E-2</v>
      </c>
      <c r="AP67" s="43">
        <v>-5.4341007676580337E-2</v>
      </c>
      <c r="AQ67" s="43">
        <v>-1.2878303149602369E-2</v>
      </c>
      <c r="AR67" s="43">
        <v>-9.4942347085523515E-2</v>
      </c>
      <c r="AS67" s="43">
        <v>-4.7410372764987718E-3</v>
      </c>
      <c r="AT67" s="43">
        <v>-4.5666156161601967E-2</v>
      </c>
      <c r="AU67" s="43">
        <v>2.7803417542194619E-2</v>
      </c>
      <c r="AV67" s="43">
        <v>-7.8862692200140527E-2</v>
      </c>
      <c r="AW67" s="43">
        <v>1.9189387130267969E-2</v>
      </c>
      <c r="AX67" s="43">
        <v>-5.4900825100455131E-2</v>
      </c>
      <c r="AY67" s="43">
        <v>-4.497087223858609E-2</v>
      </c>
      <c r="AZ67" s="43">
        <v>-2.101167197972997E-2</v>
      </c>
    </row>
    <row r="68" spans="1:52" ht="16" x14ac:dyDescent="0.2">
      <c r="A68" s="41">
        <v>42186</v>
      </c>
      <c r="B68" s="44">
        <v>-3.2927005569760248E-2</v>
      </c>
      <c r="C68" s="44">
        <v>3.7791427209680872E-2</v>
      </c>
      <c r="D68" s="44">
        <v>1.209721888281212E-2</v>
      </c>
      <c r="E68" s="44">
        <v>-2.5843546479880741E-2</v>
      </c>
      <c r="F68" s="44">
        <v>0.15027350071610709</v>
      </c>
      <c r="G68" s="44">
        <v>0.2351125616453367</v>
      </c>
      <c r="H68" s="44">
        <v>-6.4417720477935148E-2</v>
      </c>
      <c r="I68" s="44">
        <v>3.7745325856633587E-2</v>
      </c>
      <c r="J68" s="44">
        <v>7.5818181867483458E-2</v>
      </c>
      <c r="K68" s="44">
        <v>4.2935957150282533E-2</v>
      </c>
      <c r="L68" s="44">
        <v>-8.2824124805398136E-2</v>
      </c>
      <c r="M68" s="44">
        <v>5.7455315815577279E-2</v>
      </c>
      <c r="N68" s="44">
        <v>2.4232638321180389E-2</v>
      </c>
      <c r="O68" s="44">
        <v>-6.6389968096840946E-2</v>
      </c>
      <c r="P68" s="44">
        <v>-0.1165913284618203</v>
      </c>
      <c r="Q68" s="44">
        <v>0.5239361791507644</v>
      </c>
      <c r="R68" s="44">
        <v>0.1145824768622046</v>
      </c>
      <c r="S68" s="44">
        <v>5.2368308546679947E-2</v>
      </c>
      <c r="T68" s="44">
        <v>-1.7689000588329451E-2</v>
      </c>
      <c r="U68" s="44">
        <v>0.2175023983160693</v>
      </c>
      <c r="V68" s="44">
        <v>-1.7816660856803002E-2</v>
      </c>
      <c r="W68" s="44">
        <v>5.3091063969732837E-2</v>
      </c>
      <c r="X68" s="44">
        <v>6.7171764167728298E-4</v>
      </c>
      <c r="Y68" s="44">
        <v>2.82162300675548E-2</v>
      </c>
      <c r="Z68" s="44">
        <v>1.7974240732488541E-2</v>
      </c>
      <c r="AA68" s="44">
        <v>4.7157761433140877E-2</v>
      </c>
      <c r="AB68" s="44">
        <v>-4.595641216294144E-2</v>
      </c>
      <c r="AC68" s="44">
        <v>5.0384385990605678E-2</v>
      </c>
      <c r="AD68" s="44">
        <v>5.7894281928909441E-2</v>
      </c>
      <c r="AE68" s="44">
        <v>5.1302069707168663E-3</v>
      </c>
      <c r="AF68" s="44">
        <v>5.7757538633449228E-2</v>
      </c>
      <c r="AG68" s="44">
        <v>-1.7515984735052999E-2</v>
      </c>
      <c r="AH68" s="44">
        <v>7.3140195902428262E-2</v>
      </c>
      <c r="AI68" s="44">
        <v>-7.3368695373406956E-3</v>
      </c>
      <c r="AJ68" s="44">
        <v>-7.9563998680953762E-3</v>
      </c>
      <c r="AK68" s="44">
        <v>-0.14101742120098529</v>
      </c>
      <c r="AL68" s="44">
        <v>-2.8106404365001562E-2</v>
      </c>
      <c r="AM68" s="44">
        <v>-1.1655951450579179E-2</v>
      </c>
      <c r="AN68" s="44">
        <v>-3.0774437232515269E-2</v>
      </c>
      <c r="AO68" s="44">
        <v>-0.13249213444340621</v>
      </c>
      <c r="AP68" s="44">
        <v>9.4609137333946602E-2</v>
      </c>
      <c r="AQ68" s="44">
        <v>3.392127513657917E-3</v>
      </c>
      <c r="AR68" s="44">
        <v>2.8101456053331478E-2</v>
      </c>
      <c r="AS68" s="44">
        <v>8.5330993028906565E-2</v>
      </c>
      <c r="AT68" s="44">
        <v>9.9629846418165524E-3</v>
      </c>
      <c r="AU68" s="44">
        <v>5.5161201714587937E-2</v>
      </c>
      <c r="AV68" s="44">
        <v>-2.3070519274721368E-2</v>
      </c>
      <c r="AW68" s="44">
        <v>-4.9182623385417568E-3</v>
      </c>
      <c r="AX68" s="44">
        <v>2.3277795464559992E-2</v>
      </c>
      <c r="AY68" s="44">
        <v>1.4803017882867531E-2</v>
      </c>
      <c r="AZ68" s="44">
        <v>1.9742029435184879E-2</v>
      </c>
    </row>
    <row r="69" spans="1:52" ht="16" x14ac:dyDescent="0.2">
      <c r="A69" s="39">
        <v>42217</v>
      </c>
      <c r="B69" s="43">
        <v>-6.619581607338143E-2</v>
      </c>
      <c r="C69" s="43">
        <v>-0.1065295675474623</v>
      </c>
      <c r="D69" s="43">
        <v>-4.1712382705849198E-2</v>
      </c>
      <c r="E69" s="43">
        <v>5.8953589441862242E-2</v>
      </c>
      <c r="F69" s="43">
        <v>-0.13649678643377591</v>
      </c>
      <c r="G69" s="43">
        <v>-4.3383384142599568E-2</v>
      </c>
      <c r="H69" s="43">
        <v>-2.7852143180280949E-2</v>
      </c>
      <c r="I69" s="43">
        <v>-9.7420259401442721E-2</v>
      </c>
      <c r="J69" s="43">
        <v>-3.3481897418632063E-2</v>
      </c>
      <c r="K69" s="43">
        <v>-8.9373711015835133E-2</v>
      </c>
      <c r="L69" s="43">
        <v>-7.3118372022973555E-2</v>
      </c>
      <c r="M69" s="43">
        <v>-0.15100009191519789</v>
      </c>
      <c r="N69" s="43">
        <v>-5.7594431498105947E-2</v>
      </c>
      <c r="O69" s="43">
        <v>-6.8930696885576959E-2</v>
      </c>
      <c r="P69" s="43">
        <v>1.45097371216083E-2</v>
      </c>
      <c r="Q69" s="43">
        <v>3.8394378614194702E-2</v>
      </c>
      <c r="R69" s="43">
        <v>-9.4900818439406009E-2</v>
      </c>
      <c r="S69" s="43">
        <v>-4.7481933940917487E-2</v>
      </c>
      <c r="T69" s="43">
        <v>-4.904217562237112E-2</v>
      </c>
      <c r="U69" s="43">
        <v>-1.4722464638181941E-2</v>
      </c>
      <c r="V69" s="43">
        <v>-7.7144019095465199E-2</v>
      </c>
      <c r="W69" s="43">
        <v>-4.8707390632350966E-3</v>
      </c>
      <c r="X69" s="43">
        <v>0.1142117740844653</v>
      </c>
      <c r="Y69" s="43">
        <v>-5.49947810317305E-2</v>
      </c>
      <c r="Z69" s="43">
        <v>-6.4643218716825213E-2</v>
      </c>
      <c r="AA69" s="43">
        <v>-4.2843099389861312E-2</v>
      </c>
      <c r="AB69" s="43">
        <v>-8.8070836308838163E-2</v>
      </c>
      <c r="AC69" s="43">
        <v>-4.0085443082417238E-2</v>
      </c>
      <c r="AD69" s="43">
        <v>-7.7815960462542799E-2</v>
      </c>
      <c r="AE69" s="43">
        <v>-0.1130276121267927</v>
      </c>
      <c r="AF69" s="43">
        <v>-6.1948738888678578E-2</v>
      </c>
      <c r="AG69" s="43">
        <v>-0.11345211093649479</v>
      </c>
      <c r="AH69" s="43">
        <v>-5.7321456586945978E-2</v>
      </c>
      <c r="AI69" s="43">
        <v>2.6003147891409339E-2</v>
      </c>
      <c r="AJ69" s="43">
        <v>0.13155789180776889</v>
      </c>
      <c r="AK69" s="43">
        <v>0.102988425226008</v>
      </c>
      <c r="AL69" s="43">
        <v>-4.7103069231625661E-2</v>
      </c>
      <c r="AM69" s="43">
        <v>-7.8617745854407284E-2</v>
      </c>
      <c r="AN69" s="43">
        <v>-3.9115593025263802E-2</v>
      </c>
      <c r="AO69" s="43">
        <v>0.1042423826275449</v>
      </c>
      <c r="AP69" s="43">
        <v>-6.4269957225544072E-2</v>
      </c>
      <c r="AQ69" s="43">
        <v>-1.547272952836343E-2</v>
      </c>
      <c r="AR69" s="43">
        <v>-0.1138885351435852</v>
      </c>
      <c r="AS69" s="43">
        <v>-7.253520084492493E-2</v>
      </c>
      <c r="AT69" s="43">
        <v>-7.6742688772400092E-2</v>
      </c>
      <c r="AU69" s="43">
        <v>1.018471072499816E-2</v>
      </c>
      <c r="AV69" s="43">
        <v>-4.2816951800449199E-2</v>
      </c>
      <c r="AW69" s="43">
        <v>-4.6952126340267353E-2</v>
      </c>
      <c r="AX69" s="43">
        <v>-0.11564234992589149</v>
      </c>
      <c r="AY69" s="43">
        <v>-9.4581779757683671E-2</v>
      </c>
      <c r="AZ69" s="43">
        <v>-6.2580818255865589E-2</v>
      </c>
    </row>
    <row r="70" spans="1:52" ht="16" x14ac:dyDescent="0.2">
      <c r="A70" s="41">
        <v>42248</v>
      </c>
      <c r="B70" s="44">
        <v>-2.1816261796652529E-2</v>
      </c>
      <c r="C70" s="44">
        <v>-0.1119453324736579</v>
      </c>
      <c r="D70" s="44">
        <v>4.6455409699070582E-2</v>
      </c>
      <c r="E70" s="44">
        <v>8.3855249359953143E-2</v>
      </c>
      <c r="F70" s="44">
        <v>-8.868110193186951E-2</v>
      </c>
      <c r="G70" s="44">
        <v>-1.949780381022004E-3</v>
      </c>
      <c r="H70" s="44">
        <v>-0.14495019072786131</v>
      </c>
      <c r="I70" s="44">
        <v>9.7640580755762318E-3</v>
      </c>
      <c r="J70" s="44">
        <v>3.2274077286504887E-2</v>
      </c>
      <c r="K70" s="44">
        <v>1.4296898166151321E-2</v>
      </c>
      <c r="L70" s="44">
        <v>-2.605243683995773E-2</v>
      </c>
      <c r="M70" s="44">
        <v>3.1408601759841388E-3</v>
      </c>
      <c r="N70" s="44">
        <v>8.3274307936089809E-3</v>
      </c>
      <c r="O70" s="44">
        <v>-7.439266631606678E-2</v>
      </c>
      <c r="P70" s="44">
        <v>-7.0361610463506419E-2</v>
      </c>
      <c r="Q70" s="44">
        <v>-5.7142804478967579E-2</v>
      </c>
      <c r="R70" s="44">
        <v>-4.6207070596624773E-2</v>
      </c>
      <c r="S70" s="44">
        <v>-2.872637731221173E-2</v>
      </c>
      <c r="T70" s="44">
        <v>2.5209758262896061E-2</v>
      </c>
      <c r="U70" s="44">
        <v>-1.458720818806836E-2</v>
      </c>
      <c r="V70" s="44">
        <v>-7.8684580746827937E-2</v>
      </c>
      <c r="W70" s="44">
        <v>-3.279687084412175E-3</v>
      </c>
      <c r="X70" s="44">
        <v>-5.0434637122128589E-2</v>
      </c>
      <c r="Y70" s="44">
        <v>-6.7038419094194168E-3</v>
      </c>
      <c r="Z70" s="44">
        <v>-4.8829827571274853E-2</v>
      </c>
      <c r="AA70" s="44">
        <v>2.9185933157684921E-2</v>
      </c>
      <c r="AB70" s="44">
        <v>-0.11071772267223511</v>
      </c>
      <c r="AC70" s="44">
        <v>3.6939809705127002E-2</v>
      </c>
      <c r="AD70" s="44">
        <v>-6.8963036034214831E-2</v>
      </c>
      <c r="AE70" s="44">
        <v>-8.5631324728454139E-2</v>
      </c>
      <c r="AF70" s="44">
        <v>1.7003491388162709E-2</v>
      </c>
      <c r="AG70" s="44">
        <v>-8.7142169561619798E-2</v>
      </c>
      <c r="AH70" s="44">
        <v>-8.7393619401684441E-3</v>
      </c>
      <c r="AI70" s="44">
        <v>-7.3842099226154478E-2</v>
      </c>
      <c r="AJ70" s="44">
        <v>9.6530302323520889E-2</v>
      </c>
      <c r="AK70" s="44">
        <v>-0.1036057912408115</v>
      </c>
      <c r="AL70" s="44">
        <v>-0.10580341663658779</v>
      </c>
      <c r="AM70" s="44">
        <v>1.797088790632273E-2</v>
      </c>
      <c r="AN70" s="44">
        <v>-9.622926446461233E-2</v>
      </c>
      <c r="AO70" s="44">
        <v>-5.4883906635385671E-3</v>
      </c>
      <c r="AP70" s="44">
        <v>3.4650372108202099E-2</v>
      </c>
      <c r="AQ70" s="44">
        <v>4.4241996362199172E-2</v>
      </c>
      <c r="AR70" s="44">
        <v>-5.0371049164587123E-2</v>
      </c>
      <c r="AS70" s="44">
        <v>-9.4177136608785572E-2</v>
      </c>
      <c r="AT70" s="44">
        <v>-0.12911939406446479</v>
      </c>
      <c r="AU70" s="44">
        <v>1.5642517889609131E-2</v>
      </c>
      <c r="AV70" s="44">
        <v>3.5116789280338352E-2</v>
      </c>
      <c r="AW70" s="44">
        <v>7.0165149299352692E-3</v>
      </c>
      <c r="AX70" s="44">
        <v>3.11405591044247E-2</v>
      </c>
      <c r="AY70" s="44">
        <v>1.699065804411815E-3</v>
      </c>
      <c r="AZ70" s="44">
        <v>-2.644283128000147E-2</v>
      </c>
    </row>
    <row r="71" spans="1:52" ht="16" x14ac:dyDescent="0.2">
      <c r="A71" s="39">
        <v>42278</v>
      </c>
      <c r="B71" s="43">
        <v>8.3408629143081336E-2</v>
      </c>
      <c r="C71" s="43">
        <v>0.12034156964041259</v>
      </c>
      <c r="D71" s="43">
        <v>7.832646978585367E-2</v>
      </c>
      <c r="E71" s="43">
        <v>-0.19807384115098289</v>
      </c>
      <c r="F71" s="43">
        <v>0.143580350548103</v>
      </c>
      <c r="G71" s="43">
        <v>0.22272365469302269</v>
      </c>
      <c r="H71" s="43">
        <v>0.12921799316988561</v>
      </c>
      <c r="I71" s="43">
        <v>0.10562115840750839</v>
      </c>
      <c r="J71" s="43">
        <v>9.3726241192623183E-2</v>
      </c>
      <c r="K71" s="43">
        <v>0.1079110738849083</v>
      </c>
      <c r="L71" s="43">
        <v>0.15212976358738109</v>
      </c>
      <c r="M71" s="43">
        <v>0.11291586647723301</v>
      </c>
      <c r="N71" s="43">
        <v>9.6882888640607678E-2</v>
      </c>
      <c r="O71" s="43">
        <v>6.9278045156585977E-2</v>
      </c>
      <c r="P71" s="43">
        <v>0.18158603586085939</v>
      </c>
      <c r="Q71" s="43">
        <v>7.3083750027518102E-2</v>
      </c>
      <c r="R71" s="43">
        <v>-4.8359291502027453E-2</v>
      </c>
      <c r="S71" s="43">
        <v>8.2366578822964609E-2</v>
      </c>
      <c r="T71" s="43">
        <v>0.14670888783434591</v>
      </c>
      <c r="U71" s="43">
        <v>0.15511389809388421</v>
      </c>
      <c r="V71" s="43">
        <v>7.9074609273522611E-2</v>
      </c>
      <c r="W71" s="43">
        <v>7.0569200361169759E-2</v>
      </c>
      <c r="X71" s="43">
        <v>6.525874040378743E-2</v>
      </c>
      <c r="Y71" s="43">
        <v>8.2271412357932006E-2</v>
      </c>
      <c r="Z71" s="43">
        <v>6.1400135413697488E-2</v>
      </c>
      <c r="AA71" s="43">
        <v>5.5583146278865181E-2</v>
      </c>
      <c r="AB71" s="43">
        <v>-1.4738627813160041E-4</v>
      </c>
      <c r="AC71" s="43">
        <v>0.1392470385847531</v>
      </c>
      <c r="AD71" s="43">
        <v>0.10427214464951071</v>
      </c>
      <c r="AE71" s="43">
        <v>5.15605300483295E-2</v>
      </c>
      <c r="AF71" s="43">
        <v>0.18933588388641029</v>
      </c>
      <c r="AG71" s="43">
        <v>0.1054740672697823</v>
      </c>
      <c r="AH71" s="43">
        <v>5.2383657983890553E-2</v>
      </c>
      <c r="AI71" s="43">
        <v>0.15528592434614971</v>
      </c>
      <c r="AJ71" s="43">
        <v>0.15091313942425039</v>
      </c>
      <c r="AK71" s="43">
        <v>6.9755566980383099E-2</v>
      </c>
      <c r="AL71" s="43">
        <v>7.3032887179013795E-2</v>
      </c>
      <c r="AM71" s="43">
        <v>7.1260657919967496E-2</v>
      </c>
      <c r="AN71" s="43">
        <v>7.6053296794027947E-2</v>
      </c>
      <c r="AO71" s="43">
        <v>5.8498864064469247E-2</v>
      </c>
      <c r="AP71" s="43">
        <v>9.845777656403798E-2</v>
      </c>
      <c r="AQ71" s="43">
        <v>6.7661618973202664E-2</v>
      </c>
      <c r="AR71" s="43">
        <v>0.1058998566236635</v>
      </c>
      <c r="AS71" s="43">
        <v>0.19832756946020141</v>
      </c>
      <c r="AT71" s="43">
        <v>0.19772886173214579</v>
      </c>
      <c r="AU71" s="43">
        <v>2.4782690832373829E-2</v>
      </c>
      <c r="AV71" s="43">
        <v>0.1528951441014266</v>
      </c>
      <c r="AW71" s="43">
        <v>1.525713287128694E-2</v>
      </c>
      <c r="AX71" s="43">
        <v>1.063213594997103E-2</v>
      </c>
      <c r="AY71" s="43">
        <v>-0.11721139892297799</v>
      </c>
      <c r="AZ71" s="43">
        <v>8.298311781266654E-2</v>
      </c>
    </row>
    <row r="72" spans="1:52" ht="16" x14ac:dyDescent="0.2">
      <c r="A72" s="41">
        <v>42309</v>
      </c>
      <c r="B72" s="44">
        <v>-5.8042679736730607E-3</v>
      </c>
      <c r="C72" s="44">
        <v>2.678986900031433E-3</v>
      </c>
      <c r="D72" s="44">
        <v>3.1581268968071452E-2</v>
      </c>
      <c r="E72" s="44">
        <v>-8.7670082739838451E-2</v>
      </c>
      <c r="F72" s="44">
        <v>2.361503829014833E-2</v>
      </c>
      <c r="G72" s="44">
        <v>6.215055431957639E-2</v>
      </c>
      <c r="H72" s="44">
        <v>-4.658000674104712E-3</v>
      </c>
      <c r="I72" s="44">
        <v>-2.8106003965455931E-2</v>
      </c>
      <c r="J72" s="44">
        <v>2.3508649511197351E-2</v>
      </c>
      <c r="K72" s="44">
        <v>-5.545939077812756E-2</v>
      </c>
      <c r="L72" s="44">
        <v>1.711410690866955E-2</v>
      </c>
      <c r="M72" s="44">
        <v>-2.3737234336185238E-3</v>
      </c>
      <c r="N72" s="44">
        <v>-9.88792962017504E-3</v>
      </c>
      <c r="O72" s="44">
        <v>6.9159370695516253E-2</v>
      </c>
      <c r="P72" s="44">
        <v>-2.818872166923525E-2</v>
      </c>
      <c r="Q72" s="44">
        <v>-4.9833918884612971E-2</v>
      </c>
      <c r="R72" s="44">
        <v>-6.5335727292477386E-2</v>
      </c>
      <c r="S72" s="44">
        <v>-1.4268535701785989E-2</v>
      </c>
      <c r="T72" s="44">
        <v>3.5269953040563802E-2</v>
      </c>
      <c r="U72" s="44">
        <v>3.4527203631161678E-2</v>
      </c>
      <c r="V72" s="44">
        <v>1.6909921484276499E-2</v>
      </c>
      <c r="W72" s="44">
        <v>8.2821096980773223E-2</v>
      </c>
      <c r="X72" s="44">
        <v>-2.799286096909992E-2</v>
      </c>
      <c r="Y72" s="44">
        <v>9.4656548325249279E-3</v>
      </c>
      <c r="Z72" s="44">
        <v>3.7821160359996282E-2</v>
      </c>
      <c r="AA72" s="44">
        <v>1.4093619711759601E-2</v>
      </c>
      <c r="AB72" s="44">
        <v>3.3318521725590237E-2</v>
      </c>
      <c r="AC72" s="44">
        <v>2.4989784941158891E-2</v>
      </c>
      <c r="AD72" s="44">
        <v>1.9210132009677139E-2</v>
      </c>
      <c r="AE72" s="44">
        <v>4.0339690164952417E-2</v>
      </c>
      <c r="AF72" s="44">
        <v>3.9444269805879013E-2</v>
      </c>
      <c r="AG72" s="44">
        <v>-3.8043394168321698E-2</v>
      </c>
      <c r="AH72" s="44">
        <v>-1.9763397119420319E-2</v>
      </c>
      <c r="AI72" s="44">
        <v>-9.8235136252848632E-2</v>
      </c>
      <c r="AJ72" s="44">
        <v>0.12232787095838191</v>
      </c>
      <c r="AK72" s="44">
        <v>4.736141069390043E-2</v>
      </c>
      <c r="AL72" s="44">
        <v>-0.13089609181681941</v>
      </c>
      <c r="AM72" s="44">
        <v>-2.0162499675680848E-2</v>
      </c>
      <c r="AN72" s="44">
        <v>5.584103878388369E-3</v>
      </c>
      <c r="AO72" s="44">
        <v>0.1438999053684604</v>
      </c>
      <c r="AP72" s="44">
        <v>4.6796406187188389E-4</v>
      </c>
      <c r="AQ72" s="44">
        <v>4.4657641732395843E-2</v>
      </c>
      <c r="AR72" s="44">
        <v>-0.17078986428501799</v>
      </c>
      <c r="AS72" s="44">
        <v>-2.3125693676302909E-2</v>
      </c>
      <c r="AT72" s="44">
        <v>3.7235951571643611E-2</v>
      </c>
      <c r="AU72" s="44">
        <v>-3.260135821086052E-2</v>
      </c>
      <c r="AV72" s="44">
        <v>2.4682714278582821E-2</v>
      </c>
      <c r="AW72" s="44">
        <v>-4.3046363510209851E-2</v>
      </c>
      <c r="AX72" s="44">
        <v>-5.4302895781889071E-2</v>
      </c>
      <c r="AY72" s="44">
        <v>2.7952337378409849E-2</v>
      </c>
      <c r="AZ72" s="44">
        <v>5.0486911033487125E-4</v>
      </c>
    </row>
    <row r="73" spans="1:52" ht="16" x14ac:dyDescent="0.2">
      <c r="A73" s="39">
        <v>42339</v>
      </c>
      <c r="B73" s="43">
        <v>-0.11022826027723361</v>
      </c>
      <c r="C73" s="43">
        <v>-2.2295701148633551E-4</v>
      </c>
      <c r="D73" s="43">
        <v>2.7115715960625009E-2</v>
      </c>
      <c r="E73" s="43">
        <v>2.1500647276600841E-2</v>
      </c>
      <c r="F73" s="43">
        <v>7.6350190148475328E-3</v>
      </c>
      <c r="G73" s="43">
        <v>1.6681610623862531E-2</v>
      </c>
      <c r="H73" s="43">
        <v>-6.4556309018478086E-2</v>
      </c>
      <c r="I73" s="43">
        <v>-7.279010571035649E-2</v>
      </c>
      <c r="J73" s="43">
        <v>4.955784964970622E-4</v>
      </c>
      <c r="K73" s="43">
        <v>-3.3029929839553111E-3</v>
      </c>
      <c r="L73" s="43">
        <v>-1.489259372304041E-2</v>
      </c>
      <c r="M73" s="43">
        <v>-6.8004053305494638E-2</v>
      </c>
      <c r="N73" s="43">
        <v>-3.7208045308961379E-2</v>
      </c>
      <c r="O73" s="43">
        <v>-4.339993283393806E-2</v>
      </c>
      <c r="P73" s="43">
        <v>-0.15150406024137211</v>
      </c>
      <c r="Q73" s="43">
        <v>-1.398600116091508E-2</v>
      </c>
      <c r="R73" s="43">
        <v>-5.8640785587644073E-2</v>
      </c>
      <c r="S73" s="43">
        <v>-6.2133030340051021E-2</v>
      </c>
      <c r="T73" s="43">
        <v>4.8195849232334442E-2</v>
      </c>
      <c r="U73" s="43">
        <v>1.9872725547171122E-2</v>
      </c>
      <c r="V73" s="43">
        <v>-5.152069288645067E-2</v>
      </c>
      <c r="W73" s="43">
        <v>-7.8026244138792436E-3</v>
      </c>
      <c r="X73" s="43">
        <v>-5.0682782071056032E-2</v>
      </c>
      <c r="Y73" s="43">
        <v>1.4618750722185551E-2</v>
      </c>
      <c r="Z73" s="43">
        <v>-9.7479324140310464E-3</v>
      </c>
      <c r="AA73" s="43">
        <v>7.9772696872322246E-3</v>
      </c>
      <c r="AB73" s="43">
        <v>3.7843866958372267E-2</v>
      </c>
      <c r="AC73" s="43">
        <v>3.4863216616125348E-2</v>
      </c>
      <c r="AD73" s="43">
        <v>2.6056527558514508E-2</v>
      </c>
      <c r="AE73" s="43">
        <v>-7.2594741118024886E-2</v>
      </c>
      <c r="AF73" s="43">
        <v>2.0790956259115308E-2</v>
      </c>
      <c r="AG73" s="43">
        <v>-0.11111106336103239</v>
      </c>
      <c r="AH73" s="43">
        <v>4.0356399784971853E-2</v>
      </c>
      <c r="AI73" s="43">
        <v>-0.134703229206383</v>
      </c>
      <c r="AJ73" s="43">
        <v>3.90920693940362E-2</v>
      </c>
      <c r="AK73" s="43">
        <v>-0.14220400121554991</v>
      </c>
      <c r="AL73" s="43">
        <v>-0.163500598722779</v>
      </c>
      <c r="AM73" s="43">
        <v>6.1063328485175372E-2</v>
      </c>
      <c r="AN73" s="43">
        <v>-7.3380538139611651E-2</v>
      </c>
      <c r="AO73" s="43">
        <v>0.13491335516960579</v>
      </c>
      <c r="AP73" s="43">
        <v>1.3632614683944499E-2</v>
      </c>
      <c r="AQ73" s="43">
        <v>5.7489598932810138E-2</v>
      </c>
      <c r="AR73" s="43">
        <v>2.4595161610657671E-2</v>
      </c>
      <c r="AS73" s="43">
        <v>-2.993881546661914E-3</v>
      </c>
      <c r="AT73" s="43">
        <v>-5.9658874000978017E-2</v>
      </c>
      <c r="AU73" s="43">
        <v>4.3909358484774952E-3</v>
      </c>
      <c r="AV73" s="43">
        <v>-5.6951112099143393E-2</v>
      </c>
      <c r="AW73" s="43">
        <v>4.8248897331662377E-2</v>
      </c>
      <c r="AX73" s="43">
        <v>-6.8493340405877179E-2</v>
      </c>
      <c r="AY73" s="43">
        <v>5.0534907776481168E-2</v>
      </c>
      <c r="AZ73" s="43">
        <v>-1.753018503269255E-2</v>
      </c>
    </row>
    <row r="74" spans="1:52" ht="16" x14ac:dyDescent="0.2">
      <c r="A74" s="41">
        <v>42370</v>
      </c>
      <c r="B74" s="44">
        <v>-7.5242501920167015E-2</v>
      </c>
      <c r="C74" s="44">
        <v>-0.15188461057175159</v>
      </c>
      <c r="D74" s="44">
        <v>-5.1202949361093042E-2</v>
      </c>
      <c r="E74" s="44">
        <v>-8.8917591972422105E-2</v>
      </c>
      <c r="F74" s="44">
        <v>-5.913858879691547E-2</v>
      </c>
      <c r="G74" s="44">
        <v>-0.13151543200295751</v>
      </c>
      <c r="H74" s="44">
        <v>-7.2700330243846811E-2</v>
      </c>
      <c r="I74" s="44">
        <v>-8.3657104283636485E-3</v>
      </c>
      <c r="J74" s="44">
        <v>-6.4272504438486089E-2</v>
      </c>
      <c r="K74" s="44">
        <v>-0.1172539260462756</v>
      </c>
      <c r="L74" s="44">
        <v>-3.8795253384183548E-2</v>
      </c>
      <c r="M74" s="44">
        <v>-8.8123374470486238E-2</v>
      </c>
      <c r="N74" s="44">
        <v>-5.6915540189815927E-2</v>
      </c>
      <c r="O74" s="44">
        <v>-3.8678678804447093E-2</v>
      </c>
      <c r="P74" s="44">
        <v>5.9346687411983012E-3</v>
      </c>
      <c r="Q74" s="44">
        <v>-0.1808510647292085</v>
      </c>
      <c r="R74" s="44">
        <v>-3.2797033160090423E-2</v>
      </c>
      <c r="S74" s="44">
        <v>-2.1037263604793969E-2</v>
      </c>
      <c r="T74" s="44">
        <v>-6.5810303383525115E-2</v>
      </c>
      <c r="U74" s="44">
        <v>-2.1413444121816231E-2</v>
      </c>
      <c r="V74" s="44">
        <v>-0.1035899853211419</v>
      </c>
      <c r="W74" s="44">
        <v>-4.9073537645540677E-2</v>
      </c>
      <c r="X74" s="44">
        <v>-0.34937759756444681</v>
      </c>
      <c r="Y74" s="44">
        <v>1.6744254018098429E-2</v>
      </c>
      <c r="Z74" s="44">
        <v>-9.2849714385894178E-2</v>
      </c>
      <c r="AA74" s="44">
        <v>-9.3114011249828543E-4</v>
      </c>
      <c r="AB74" s="44">
        <v>-2.8453230831267051E-2</v>
      </c>
      <c r="AC74" s="44">
        <v>4.7739923455116802E-2</v>
      </c>
      <c r="AD74" s="44">
        <v>-1.300052316616729E-2</v>
      </c>
      <c r="AE74" s="44">
        <v>-0.18160342077856159</v>
      </c>
      <c r="AF74" s="44">
        <v>-7.0294249152348387E-3</v>
      </c>
      <c r="AG74" s="44">
        <v>-0.2210453039258623</v>
      </c>
      <c r="AH74" s="44">
        <v>7.5272008497778709E-2</v>
      </c>
      <c r="AI74" s="44">
        <v>-0.16748908689037009</v>
      </c>
      <c r="AJ74" s="44">
        <v>-0.1113470554671383</v>
      </c>
      <c r="AK74" s="44">
        <v>-9.7814396383624325E-2</v>
      </c>
      <c r="AL74" s="44">
        <v>3.7729518936892248E-2</v>
      </c>
      <c r="AM74" s="44">
        <v>3.7677969936964713E-2</v>
      </c>
      <c r="AN74" s="44">
        <v>1.8557447785232379E-3</v>
      </c>
      <c r="AO74" s="44">
        <v>-4.0963874433339383E-2</v>
      </c>
      <c r="AP74" s="44">
        <v>-8.0382088525771778E-2</v>
      </c>
      <c r="AQ74" s="44">
        <v>1.554774917052648E-2</v>
      </c>
      <c r="AR74" s="44">
        <v>-9.3018473173461125E-2</v>
      </c>
      <c r="AS74" s="44">
        <v>-0.22616831562260531</v>
      </c>
      <c r="AT74" s="44">
        <v>-1.5138562947234259E-2</v>
      </c>
      <c r="AU74" s="44">
        <v>4.6534852693045359E-3</v>
      </c>
      <c r="AV74" s="44">
        <v>-2.7003493093075152E-2</v>
      </c>
      <c r="AW74" s="44">
        <v>-2.1081112693277951E-2</v>
      </c>
      <c r="AX74" s="44">
        <v>-7.9283851185325549E-2</v>
      </c>
      <c r="AY74" s="44">
        <v>8.2544742303178653E-2</v>
      </c>
      <c r="AZ74" s="44">
        <v>-5.0735322046952303E-2</v>
      </c>
    </row>
    <row r="75" spans="1:52" ht="16" x14ac:dyDescent="0.2">
      <c r="A75" s="39">
        <v>42401</v>
      </c>
      <c r="B75" s="43">
        <v>-1.287363990425727E-3</v>
      </c>
      <c r="C75" s="43">
        <v>2.3513893042074411E-2</v>
      </c>
      <c r="D75" s="43">
        <v>-4.4653829801239442E-2</v>
      </c>
      <c r="E75" s="43">
        <v>7.0249964299036405E-2</v>
      </c>
      <c r="F75" s="43">
        <v>-6.194381774356672E-2</v>
      </c>
      <c r="G75" s="43">
        <v>-5.8739383590420302E-2</v>
      </c>
      <c r="H75" s="43">
        <v>8.7724956635709228E-2</v>
      </c>
      <c r="I75" s="43">
        <v>3.6258877470494832E-2</v>
      </c>
      <c r="J75" s="43">
        <v>-4.5207995831683112E-3</v>
      </c>
      <c r="K75" s="43">
        <v>0.10046186864419709</v>
      </c>
      <c r="L75" s="43">
        <v>-2.2801864621884719E-2</v>
      </c>
      <c r="M75" s="43">
        <v>-3.130734882281216E-3</v>
      </c>
      <c r="N75" s="43">
        <v>-4.9318651701005363E-2</v>
      </c>
      <c r="O75" s="43">
        <v>7.2846651394617323E-2</v>
      </c>
      <c r="P75" s="43">
        <v>-8.8425645255348018E-2</v>
      </c>
      <c r="Q75" s="43">
        <v>-0.21212116989832219</v>
      </c>
      <c r="R75" s="43">
        <v>2.5485171899746861E-2</v>
      </c>
      <c r="S75" s="43">
        <v>1.8688750757828831E-2</v>
      </c>
      <c r="T75" s="43">
        <v>9.3906354493042965E-3</v>
      </c>
      <c r="U75" s="43">
        <v>-5.7962965492020617E-2</v>
      </c>
      <c r="V75" s="43">
        <v>-7.0440059809433908E-2</v>
      </c>
      <c r="W75" s="43">
        <v>-1.304085914064701E-2</v>
      </c>
      <c r="X75" s="43">
        <v>4.1666702708781138E-2</v>
      </c>
      <c r="Y75" s="43">
        <v>1.467331712135689E-2</v>
      </c>
      <c r="Z75" s="43">
        <v>-5.3781646339785882E-2</v>
      </c>
      <c r="AA75" s="43">
        <v>4.89338085665314E-3</v>
      </c>
      <c r="AB75" s="43">
        <v>3.340454634756318E-2</v>
      </c>
      <c r="AC75" s="43">
        <v>-4.6067093790014717E-2</v>
      </c>
      <c r="AD75" s="43">
        <v>1.936230904614011E-2</v>
      </c>
      <c r="AE75" s="43">
        <v>-4.5595095731323809E-2</v>
      </c>
      <c r="AF75" s="43">
        <v>-6.9789123726415991E-2</v>
      </c>
      <c r="AG75" s="43">
        <v>-3.626480561896428E-2</v>
      </c>
      <c r="AH75" s="43">
        <v>1.756016107976888E-2</v>
      </c>
      <c r="AI75" s="43">
        <v>0.13269495465399081</v>
      </c>
      <c r="AJ75" s="43">
        <v>7.4573271821038789E-2</v>
      </c>
      <c r="AK75" s="43">
        <v>-0.17593883054130979</v>
      </c>
      <c r="AL75" s="43">
        <v>-3.6531569923990537E-2</v>
      </c>
      <c r="AM75" s="43">
        <v>-1.713751607136671E-2</v>
      </c>
      <c r="AN75" s="43">
        <v>4.8085724985297278E-2</v>
      </c>
      <c r="AO75" s="43">
        <v>-0.1482411697063506</v>
      </c>
      <c r="AP75" s="43">
        <v>-2.5589092425702401E-2</v>
      </c>
      <c r="AQ75" s="43">
        <v>-0.2071586766359754</v>
      </c>
      <c r="AR75" s="43">
        <v>0.13071736935913719</v>
      </c>
      <c r="AS75" s="43">
        <v>-8.5862533503959559E-2</v>
      </c>
      <c r="AT75" s="43">
        <v>6.143763939605229E-2</v>
      </c>
      <c r="AU75" s="43">
        <v>4.3367344559365639E-2</v>
      </c>
      <c r="AV75" s="43">
        <v>1.7005234783218359E-3</v>
      </c>
      <c r="AW75" s="43">
        <v>3.4213166835502129E-2</v>
      </c>
      <c r="AX75" s="43">
        <v>0.1028519284988911</v>
      </c>
      <c r="AY75" s="43">
        <v>-3.0162219014773228E-4</v>
      </c>
      <c r="AZ75" s="43">
        <v>-4.1283603090035434E-3</v>
      </c>
    </row>
    <row r="76" spans="1:52" ht="16" x14ac:dyDescent="0.2">
      <c r="A76" s="41">
        <v>42430</v>
      </c>
      <c r="B76" s="44">
        <v>0.12721054910321561</v>
      </c>
      <c r="C76" s="44">
        <v>7.9762626379613177E-2</v>
      </c>
      <c r="D76" s="44">
        <v>0.10158545356279269</v>
      </c>
      <c r="E76" s="44">
        <v>-0.24273127945782241</v>
      </c>
      <c r="F76" s="44">
        <v>5.3767377717721221E-2</v>
      </c>
      <c r="G76" s="44">
        <v>7.4422637976578221E-2</v>
      </c>
      <c r="H76" s="44">
        <v>0.1305753568944488</v>
      </c>
      <c r="I76" s="44">
        <v>5.8029248464698258E-2</v>
      </c>
      <c r="J76" s="44">
        <v>5.0322697345540401E-2</v>
      </c>
      <c r="K76" s="44">
        <v>8.7471688076534493E-2</v>
      </c>
      <c r="L76" s="44">
        <v>0.14333674323510831</v>
      </c>
      <c r="M76" s="44">
        <v>3.9677394849459313E-2</v>
      </c>
      <c r="N76" s="44">
        <v>9.109739052931709E-2</v>
      </c>
      <c r="O76" s="44">
        <v>0.1136600753742087</v>
      </c>
      <c r="P76" s="44">
        <v>0.1210998509730874</v>
      </c>
      <c r="Q76" s="44">
        <v>9.8901067230958928E-2</v>
      </c>
      <c r="R76" s="44">
        <v>0.1006550950346341</v>
      </c>
      <c r="S76" s="44">
        <v>-3.5957717375256333E-2</v>
      </c>
      <c r="T76" s="44">
        <v>9.0940567459359967E-2</v>
      </c>
      <c r="U76" s="44">
        <v>6.3690442632113875E-2</v>
      </c>
      <c r="V76" s="44">
        <v>4.9822350139257843E-2</v>
      </c>
      <c r="W76" s="44">
        <v>8.0919391325850576E-2</v>
      </c>
      <c r="X76" s="44">
        <v>-1.401358883397108E-2</v>
      </c>
      <c r="Y76" s="44">
        <v>2.8419416900134831E-2</v>
      </c>
      <c r="Z76" s="44">
        <v>5.1865194384999043E-2</v>
      </c>
      <c r="AA76" s="44">
        <v>8.397323654693678E-2</v>
      </c>
      <c r="AB76" s="44">
        <v>-1.091208206770522E-2</v>
      </c>
      <c r="AC76" s="44">
        <v>7.2446162062811625E-2</v>
      </c>
      <c r="AD76" s="44">
        <v>-2.5960987379212819E-2</v>
      </c>
      <c r="AE76" s="44">
        <v>1.255110295374307E-2</v>
      </c>
      <c r="AF76" s="44">
        <v>8.549483915593914E-2</v>
      </c>
      <c r="AG76" s="44">
        <v>-1.505184542937343E-2</v>
      </c>
      <c r="AH76" s="44">
        <v>4.8927752638982858E-2</v>
      </c>
      <c r="AI76" s="44">
        <v>9.8631291326861215E-2</v>
      </c>
      <c r="AJ76" s="44">
        <v>0.13616058432856071</v>
      </c>
      <c r="AK76" s="44">
        <v>0.20347575581964919</v>
      </c>
      <c r="AL76" s="44">
        <v>0.24416710537287309</v>
      </c>
      <c r="AM76" s="44">
        <v>2.515850490091354E-2</v>
      </c>
      <c r="AN76" s="44">
        <v>9.7628788295638813E-2</v>
      </c>
      <c r="AO76" s="44">
        <v>2.35987973763736E-2</v>
      </c>
      <c r="AP76" s="44">
        <v>0.16023227710363</v>
      </c>
      <c r="AQ76" s="44">
        <v>7.2180304132750672E-2</v>
      </c>
      <c r="AR76" s="44">
        <v>6.8909085882586929E-3</v>
      </c>
      <c r="AS76" s="44">
        <v>-6.1402884614536142E-2</v>
      </c>
      <c r="AT76" s="44">
        <v>5.2384365979860181E-2</v>
      </c>
      <c r="AU76" s="44">
        <v>5.7355282475272773E-2</v>
      </c>
      <c r="AV76" s="44">
        <v>8.2987584023157757E-2</v>
      </c>
      <c r="AW76" s="44">
        <v>8.6749825826669902E-2</v>
      </c>
      <c r="AX76" s="44">
        <v>8.7492604877434932E-3</v>
      </c>
      <c r="AY76" s="44">
        <v>4.0052140039080093E-2</v>
      </c>
      <c r="AZ76" s="44">
        <v>6.5991114440058452E-2</v>
      </c>
    </row>
    <row r="77" spans="1:52" ht="16" x14ac:dyDescent="0.2">
      <c r="A77" s="39">
        <v>42461</v>
      </c>
      <c r="B77" s="43">
        <v>-0.1399211597299227</v>
      </c>
      <c r="C77" s="43">
        <v>-6.436458790355537E-2</v>
      </c>
      <c r="D77" s="43">
        <v>4.4775922737823048E-3</v>
      </c>
      <c r="E77" s="43">
        <v>7.6207063713986001E-2</v>
      </c>
      <c r="F77" s="43">
        <v>5.5825795550005657E-2</v>
      </c>
      <c r="G77" s="43">
        <v>0.1110942894178326</v>
      </c>
      <c r="H77" s="43">
        <v>2.531803834461566E-2</v>
      </c>
      <c r="I77" s="43">
        <v>-7.9834028934366863E-4</v>
      </c>
      <c r="J77" s="43">
        <v>-5.7188601080945478E-2</v>
      </c>
      <c r="K77" s="43">
        <v>-2.559192921408238E-2</v>
      </c>
      <c r="L77" s="43">
        <v>7.1069306007287558E-2</v>
      </c>
      <c r="M77" s="43">
        <v>3.9774612655920423E-2</v>
      </c>
      <c r="N77" s="43">
        <v>3.1025791136954028E-2</v>
      </c>
      <c r="O77" s="43">
        <v>4.5971219263754026E-3</v>
      </c>
      <c r="P77" s="43">
        <v>0.14080299065202581</v>
      </c>
      <c r="Q77" s="43">
        <v>0.1525000333786011</v>
      </c>
      <c r="R77" s="43">
        <v>-1.039204997617482E-2</v>
      </c>
      <c r="S77" s="43">
        <v>7.5899969392084543E-2</v>
      </c>
      <c r="T77" s="43">
        <v>-3.2714881350279668E-2</v>
      </c>
      <c r="U77" s="43">
        <v>-7.2119685471178863E-2</v>
      </c>
      <c r="V77" s="43">
        <v>4.5420029357195142E-2</v>
      </c>
      <c r="W77" s="43">
        <v>3.4475597061796042E-3</v>
      </c>
      <c r="X77" s="43">
        <v>-2.7598257798784331E-3</v>
      </c>
      <c r="Y77" s="43">
        <v>3.5859675256321173E-2</v>
      </c>
      <c r="Z77" s="43">
        <v>7.5108457655926664E-2</v>
      </c>
      <c r="AA77" s="43">
        <v>-3.4274855304840091E-2</v>
      </c>
      <c r="AB77" s="43">
        <v>6.7727967746324502E-2</v>
      </c>
      <c r="AC77" s="43">
        <v>6.4449822838217319E-3</v>
      </c>
      <c r="AD77" s="43">
        <v>5.5332930757084231E-2</v>
      </c>
      <c r="AE77" s="43">
        <v>8.7890131709170927E-2</v>
      </c>
      <c r="AF77" s="43">
        <v>-9.7048416821795991E-2</v>
      </c>
      <c r="AG77" s="43">
        <v>2.674312487915231E-2</v>
      </c>
      <c r="AH77" s="43">
        <v>-6.4222239826200456E-3</v>
      </c>
      <c r="AI77" s="43">
        <v>-0.12785332999653229</v>
      </c>
      <c r="AJ77" s="43">
        <v>-2.8063493731534939E-3</v>
      </c>
      <c r="AK77" s="43">
        <v>0.1025873044724506</v>
      </c>
      <c r="AL77" s="43">
        <v>0.23107329915757679</v>
      </c>
      <c r="AM77" s="43">
        <v>-1.863276532433655E-2</v>
      </c>
      <c r="AN77" s="43">
        <v>4.4472145882971548E-2</v>
      </c>
      <c r="AO77" s="43">
        <v>1.6330459057231069E-2</v>
      </c>
      <c r="AP77" s="43">
        <v>2.7840878536805169E-2</v>
      </c>
      <c r="AQ77" s="43">
        <v>-1.490698346541697E-3</v>
      </c>
      <c r="AR77" s="43">
        <v>-1.2123468214394809E-2</v>
      </c>
      <c r="AS77" s="43">
        <v>4.5139069021497891E-2</v>
      </c>
      <c r="AT77" s="43">
        <v>9.2741591793461531E-3</v>
      </c>
      <c r="AU77" s="43">
        <v>-3.2291014129798727E-2</v>
      </c>
      <c r="AV77" s="43">
        <v>-2.7783718811447139E-4</v>
      </c>
      <c r="AW77" s="43">
        <v>2.1567264007333439E-2</v>
      </c>
      <c r="AX77" s="43">
        <v>9.654324812107018E-2</v>
      </c>
      <c r="AY77" s="43">
        <v>-2.3653449768925919E-2</v>
      </c>
      <c r="AZ77" s="43">
        <v>2.699398283332544E-3</v>
      </c>
    </row>
    <row r="78" spans="1:52" ht="16" x14ac:dyDescent="0.2">
      <c r="A78" s="41">
        <v>42491</v>
      </c>
      <c r="B78" s="44">
        <v>7.1773070709525211E-2</v>
      </c>
      <c r="C78" s="44">
        <v>1.876634442725611E-2</v>
      </c>
      <c r="D78" s="44">
        <v>5.5720653067094388E-2</v>
      </c>
      <c r="E78" s="44">
        <v>8.1081081081081141E-2</v>
      </c>
      <c r="F78" s="44">
        <v>4.3576704816856724E-3</v>
      </c>
      <c r="G78" s="44">
        <v>9.5817094405820091E-2</v>
      </c>
      <c r="H78" s="44">
        <v>-6.7035211771293013E-2</v>
      </c>
      <c r="I78" s="44">
        <v>4.1804404215392887E-2</v>
      </c>
      <c r="J78" s="44">
        <v>4.3199643178832847E-3</v>
      </c>
      <c r="K78" s="44">
        <v>5.6748170014142341E-2</v>
      </c>
      <c r="L78" s="44">
        <v>-1.099546765381709E-3</v>
      </c>
      <c r="M78" s="44">
        <v>-3.9124731157261013E-2</v>
      </c>
      <c r="N78" s="44">
        <v>1.9655431322638691E-2</v>
      </c>
      <c r="O78" s="44">
        <v>-3.924589601933226E-2</v>
      </c>
      <c r="P78" s="44">
        <v>-1.52505310213179E-2</v>
      </c>
      <c r="Q78" s="44">
        <v>0.40780902020724108</v>
      </c>
      <c r="R78" s="44">
        <v>5.2028610484412319E-2</v>
      </c>
      <c r="S78" s="44">
        <v>9.607171097514744E-3</v>
      </c>
      <c r="T78" s="44">
        <v>-1.6910263323101749E-2</v>
      </c>
      <c r="U78" s="44">
        <v>5.7877238349766102E-2</v>
      </c>
      <c r="V78" s="44">
        <v>-2.4229533387443599E-2</v>
      </c>
      <c r="W78" s="44">
        <v>-8.110320817829697E-3</v>
      </c>
      <c r="X78" s="44">
        <v>0.16798128660502279</v>
      </c>
      <c r="Y78" s="44">
        <v>1.262118764960918E-2</v>
      </c>
      <c r="Z78" s="44">
        <v>3.2753306428658258E-2</v>
      </c>
      <c r="AA78" s="44">
        <v>-4.4642883312638881E-3</v>
      </c>
      <c r="AB78" s="44">
        <v>-6.3168792374375782E-2</v>
      </c>
      <c r="AC78" s="44">
        <v>-3.5022325858730108E-2</v>
      </c>
      <c r="AD78" s="44">
        <v>1.680391922703639E-2</v>
      </c>
      <c r="AE78" s="44">
        <v>1.1456250664675149E-2</v>
      </c>
      <c r="AF78" s="44">
        <v>7.0196666163311994E-2</v>
      </c>
      <c r="AG78" s="44">
        <v>0.1832558643921742</v>
      </c>
      <c r="AH78" s="44">
        <v>2.9119534907520839E-2</v>
      </c>
      <c r="AI78" s="44">
        <v>7.9949075445387097E-2</v>
      </c>
      <c r="AJ78" s="44">
        <v>0.31835955442699349</v>
      </c>
      <c r="AK78" s="44">
        <v>-9.0299517484736636E-2</v>
      </c>
      <c r="AL78" s="44">
        <v>0.19640402943571769</v>
      </c>
      <c r="AM78" s="44">
        <v>1.1482869264330731E-2</v>
      </c>
      <c r="AN78" s="44">
        <v>-4.5688505170262683E-3</v>
      </c>
      <c r="AO78" s="44">
        <v>-9.2627556644919617E-2</v>
      </c>
      <c r="AP78" s="44">
        <v>4.6685429363778397E-2</v>
      </c>
      <c r="AQ78" s="44">
        <v>8.8817013084006247E-2</v>
      </c>
      <c r="AR78" s="44">
        <v>9.753019298070531E-2</v>
      </c>
      <c r="AS78" s="44">
        <v>5.8984511270841811E-2</v>
      </c>
      <c r="AT78" s="44">
        <v>1.6072304256152581E-2</v>
      </c>
      <c r="AU78" s="44">
        <v>7.3240009556894137E-3</v>
      </c>
      <c r="AV78" s="44">
        <v>6.241232883079606E-2</v>
      </c>
      <c r="AW78" s="44">
        <v>1.5112227784538581E-2</v>
      </c>
      <c r="AX78" s="44">
        <v>-2.840520244502209E-2</v>
      </c>
      <c r="AY78" s="44">
        <v>6.6221752488027086E-2</v>
      </c>
      <c r="AZ78" s="44">
        <v>1.5324602525288439E-2</v>
      </c>
    </row>
    <row r="79" spans="1:52" ht="16" x14ac:dyDescent="0.2">
      <c r="A79" s="39">
        <v>42522</v>
      </c>
      <c r="B79" s="43">
        <v>-4.2659658290434388E-2</v>
      </c>
      <c r="C79" s="43">
        <v>-8.0749298494269262E-3</v>
      </c>
      <c r="D79" s="43">
        <v>-3.6996081833864942E-2</v>
      </c>
      <c r="E79" s="43">
        <v>-0.12849998474121091</v>
      </c>
      <c r="F79" s="43">
        <v>-3.6720183561312007E-2</v>
      </c>
      <c r="G79" s="43">
        <v>-9.9199335258159937E-3</v>
      </c>
      <c r="H79" s="43">
        <v>4.5510928537585649E-2</v>
      </c>
      <c r="I79" s="43">
        <v>2.985734662255091E-2</v>
      </c>
      <c r="J79" s="43">
        <v>5.5589517665068477E-2</v>
      </c>
      <c r="K79" s="43">
        <v>-1.239246721021703E-2</v>
      </c>
      <c r="L79" s="43">
        <v>3.7920954048453748E-2</v>
      </c>
      <c r="M79" s="43">
        <v>-1.410995292535311E-2</v>
      </c>
      <c r="N79" s="43">
        <v>1.4576479407896409E-2</v>
      </c>
      <c r="O79" s="43">
        <v>2.691296444579772E-3</v>
      </c>
      <c r="P79" s="43">
        <v>2.5319313674617039E-2</v>
      </c>
      <c r="Q79" s="43">
        <v>0.20338986413152879</v>
      </c>
      <c r="R79" s="43">
        <v>3.3030848370694921E-2</v>
      </c>
      <c r="S79" s="43">
        <v>-1.2937475306508239E-2</v>
      </c>
      <c r="T79" s="43">
        <v>4.9238185132151953E-2</v>
      </c>
      <c r="U79" s="43">
        <v>-6.0519650236881113E-2</v>
      </c>
      <c r="V79" s="43">
        <v>-6.8346876311144222E-2</v>
      </c>
      <c r="W79" s="43">
        <v>-3.352986661726487E-2</v>
      </c>
      <c r="X79" s="43">
        <v>-5.2481934758692013E-2</v>
      </c>
      <c r="Y79" s="43">
        <v>7.6404029037479448E-2</v>
      </c>
      <c r="Z79" s="43">
        <v>-4.7954675641006639E-2</v>
      </c>
      <c r="AA79" s="43">
        <v>2.416188917973261E-2</v>
      </c>
      <c r="AB79" s="43">
        <v>-4.8780125245075363E-2</v>
      </c>
      <c r="AC79" s="43">
        <v>-6.8443792698699157E-3</v>
      </c>
      <c r="AD79" s="43">
        <v>7.8155631687908844E-2</v>
      </c>
      <c r="AE79" s="43">
        <v>-5.078588481684343E-2</v>
      </c>
      <c r="AF79" s="43">
        <v>-3.4528275602421887E-2</v>
      </c>
      <c r="AG79" s="43">
        <v>8.1761117024499175E-2</v>
      </c>
      <c r="AH79" s="43">
        <v>8.5581282097895173E-2</v>
      </c>
      <c r="AI79" s="43">
        <v>-3.6819659699959151E-2</v>
      </c>
      <c r="AJ79" s="43">
        <v>6.2073129492610244E-3</v>
      </c>
      <c r="AK79" s="43">
        <v>-9.6793740731221933E-2</v>
      </c>
      <c r="AL79" s="43">
        <v>9.7110042206968394E-2</v>
      </c>
      <c r="AM79" s="43">
        <v>4.4792709954653898E-2</v>
      </c>
      <c r="AN79" s="43">
        <v>-5.9125510860767012E-2</v>
      </c>
      <c r="AO79" s="43">
        <v>-7.1875052774943771E-2</v>
      </c>
      <c r="AP79" s="43">
        <v>4.0624196140917501E-2</v>
      </c>
      <c r="AQ79" s="43">
        <v>-6.5577456297694292E-2</v>
      </c>
      <c r="AR79" s="43">
        <v>-2.4581145111948199E-2</v>
      </c>
      <c r="AS79" s="43">
        <v>-0.12458333764480969</v>
      </c>
      <c r="AT79" s="43">
        <v>8.8633592378613013E-3</v>
      </c>
      <c r="AU79" s="43">
        <v>1.458209088645623E-2</v>
      </c>
      <c r="AV79" s="43">
        <v>3.3828371103075787E-2</v>
      </c>
      <c r="AW79" s="43">
        <v>6.1143594225733233E-2</v>
      </c>
      <c r="AX79" s="43">
        <v>3.6346296312065103E-2</v>
      </c>
      <c r="AY79" s="43">
        <v>3.1647375351942619E-2</v>
      </c>
      <c r="AZ79" s="43">
        <v>9.1092124012437381E-4</v>
      </c>
    </row>
    <row r="80" spans="1:52" ht="16" x14ac:dyDescent="0.2">
      <c r="A80" s="41">
        <v>42552</v>
      </c>
      <c r="B80" s="44">
        <v>9.0062741614159725E-2</v>
      </c>
      <c r="C80" s="44">
        <v>0.14539953059285021</v>
      </c>
      <c r="D80" s="44">
        <v>2.16097679824605E-2</v>
      </c>
      <c r="E80" s="44">
        <v>8.2042471608629208E-2</v>
      </c>
      <c r="F80" s="44">
        <v>0.13066065070345981</v>
      </c>
      <c r="G80" s="44">
        <v>6.0353266507274128E-2</v>
      </c>
      <c r="H80" s="44">
        <v>0.1021927896327854</v>
      </c>
      <c r="I80" s="44">
        <v>3.5970361033547338E-2</v>
      </c>
      <c r="J80" s="44">
        <v>6.482367806409628E-2</v>
      </c>
      <c r="K80" s="44">
        <v>7.3828083880739914E-2</v>
      </c>
      <c r="L80" s="44">
        <v>-2.2417231482732562E-2</v>
      </c>
      <c r="M80" s="44">
        <v>-1.1991322074039299E-2</v>
      </c>
      <c r="N80" s="44">
        <v>-1.855136624576037E-3</v>
      </c>
      <c r="O80" s="44">
        <v>7.1702374709751382E-2</v>
      </c>
      <c r="P80" s="44">
        <v>-1.8682104292817799E-2</v>
      </c>
      <c r="Q80" s="44">
        <v>0.17541618084937699</v>
      </c>
      <c r="R80" s="44">
        <v>8.4153216261709129E-2</v>
      </c>
      <c r="S80" s="44">
        <v>5.4941099028854801E-2</v>
      </c>
      <c r="T80" s="44">
        <v>-1.0799865077961599E-2</v>
      </c>
      <c r="U80" s="44">
        <v>0.12481350693664429</v>
      </c>
      <c r="V80" s="44">
        <v>6.8851951454438343E-2</v>
      </c>
      <c r="W80" s="44">
        <v>8.2621869576074092E-2</v>
      </c>
      <c r="X80" s="44">
        <v>0.1279069179565395</v>
      </c>
      <c r="Y80" s="44">
        <v>3.2399074183952603E-2</v>
      </c>
      <c r="Z80" s="44">
        <v>3.7463226147806061E-2</v>
      </c>
      <c r="AA80" s="44">
        <v>-3.7502370190869772E-2</v>
      </c>
      <c r="AB80" s="44">
        <v>3.3893157373026117E-2</v>
      </c>
      <c r="AC80" s="44">
        <v>-2.2353637583482629E-2</v>
      </c>
      <c r="AD80" s="44">
        <v>1.4924558055276821E-2</v>
      </c>
      <c r="AE80" s="44">
        <v>0.1134690682741457</v>
      </c>
      <c r="AF80" s="44">
        <v>0.1076800557152386</v>
      </c>
      <c r="AG80" s="44">
        <v>-1.453480624108217E-3</v>
      </c>
      <c r="AH80" s="44">
        <v>-1.618098133253398E-2</v>
      </c>
      <c r="AI80" s="44">
        <v>7.9615201640891309E-2</v>
      </c>
      <c r="AJ80" s="44">
        <v>0.2146351176622705</v>
      </c>
      <c r="AK80" s="44">
        <v>-6.6309613833384184E-2</v>
      </c>
      <c r="AL80" s="44">
        <v>-5.6059031017712257E-2</v>
      </c>
      <c r="AM80" s="44">
        <v>1.8786826099959519E-2</v>
      </c>
      <c r="AN80" s="44">
        <v>5.6825306589880283E-2</v>
      </c>
      <c r="AO80" s="44">
        <v>8.4175085616621681E-2</v>
      </c>
      <c r="AP80" s="44">
        <v>0.11113381378762011</v>
      </c>
      <c r="AQ80" s="44">
        <v>2.8365224104091039E-2</v>
      </c>
      <c r="AR80" s="44">
        <v>0.16819078212487559</v>
      </c>
      <c r="AS80" s="44">
        <v>0.2173066534657517</v>
      </c>
      <c r="AT80" s="44">
        <v>2.0635702408023929E-2</v>
      </c>
      <c r="AU80" s="44">
        <v>5.8137682020063863E-2</v>
      </c>
      <c r="AV80" s="44">
        <v>0.1192959161113447</v>
      </c>
      <c r="AW80" s="44">
        <v>1.416421821312963E-2</v>
      </c>
      <c r="AX80" s="44">
        <v>6.6476042421563353E-2</v>
      </c>
      <c r="AY80" s="44">
        <v>-6.8494989963518993E-4</v>
      </c>
      <c r="AZ80" s="44">
        <v>3.5609800753315428E-2</v>
      </c>
    </row>
    <row r="81" spans="1:52" ht="16" x14ac:dyDescent="0.2">
      <c r="A81" s="39">
        <v>42583</v>
      </c>
      <c r="B81" s="43">
        <v>2.365190437718678E-2</v>
      </c>
      <c r="C81" s="43">
        <v>-6.1005656037007923E-2</v>
      </c>
      <c r="D81" s="43">
        <v>4.5473093403715747E-2</v>
      </c>
      <c r="E81" s="43">
        <v>0.27147395366862209</v>
      </c>
      <c r="F81" s="43">
        <v>-5.7051489031962888E-3</v>
      </c>
      <c r="G81" s="43">
        <v>1.363982692722621E-2</v>
      </c>
      <c r="H81" s="43">
        <v>-9.7873351160353561E-3</v>
      </c>
      <c r="I81" s="43">
        <v>-2.9591091540385191E-2</v>
      </c>
      <c r="J81" s="43">
        <v>-2.8072267495007019E-2</v>
      </c>
      <c r="K81" s="43">
        <v>2.9806757733015669E-2</v>
      </c>
      <c r="L81" s="43">
        <v>-8.1990774216992302E-3</v>
      </c>
      <c r="M81" s="43">
        <v>-1.552895910701102E-2</v>
      </c>
      <c r="N81" s="43">
        <v>3.944939073544429E-2</v>
      </c>
      <c r="O81" s="43">
        <v>-4.9291301418715523E-2</v>
      </c>
      <c r="P81" s="43">
        <v>8.3109065228874623E-2</v>
      </c>
      <c r="Q81" s="43">
        <v>0.21459686795912039</v>
      </c>
      <c r="R81" s="43">
        <v>-5.5906240661842688E-3</v>
      </c>
      <c r="S81" s="43">
        <v>3.6286095833424133E-2</v>
      </c>
      <c r="T81" s="43">
        <v>3.210881997573356E-3</v>
      </c>
      <c r="U81" s="43">
        <v>-1.8827224688580111E-3</v>
      </c>
      <c r="V81" s="43">
        <v>7.1233908538520074E-2</v>
      </c>
      <c r="W81" s="43">
        <v>-2.48281762857081E-2</v>
      </c>
      <c r="X81" s="43">
        <v>-0.1009865946436931</v>
      </c>
      <c r="Y81" s="43">
        <v>-4.0676174234905438E-2</v>
      </c>
      <c r="Z81" s="43">
        <v>5.5181884440906659E-2</v>
      </c>
      <c r="AA81" s="43">
        <v>-4.5842407703655663E-3</v>
      </c>
      <c r="AB81" s="43">
        <v>2.9845466763099179E-2</v>
      </c>
      <c r="AC81" s="43">
        <v>-9.2744245918552348E-3</v>
      </c>
      <c r="AD81" s="43">
        <v>-6.8468591489050379E-3</v>
      </c>
      <c r="AE81" s="43">
        <v>0.1159070342812671</v>
      </c>
      <c r="AF81" s="43">
        <v>2.0080108413824019E-2</v>
      </c>
      <c r="AG81" s="43">
        <v>0.20014548845221</v>
      </c>
      <c r="AH81" s="43">
        <v>-5.0658734379617099E-2</v>
      </c>
      <c r="AI81" s="43">
        <v>0.31271339698973583</v>
      </c>
      <c r="AJ81" s="43">
        <v>7.6234970706796634E-2</v>
      </c>
      <c r="AK81" s="43">
        <v>-3.957171063103071E-2</v>
      </c>
      <c r="AL81" s="43">
        <v>6.1117947296759123E-2</v>
      </c>
      <c r="AM81" s="43">
        <v>2.009601826306362E-2</v>
      </c>
      <c r="AN81" s="43">
        <v>7.8546097493854994E-2</v>
      </c>
      <c r="AO81" s="43">
        <v>-1.0351907802793599E-2</v>
      </c>
      <c r="AP81" s="43">
        <v>-2.5325959471027559E-2</v>
      </c>
      <c r="AQ81" s="43">
        <v>7.6090908077227404E-2</v>
      </c>
      <c r="AR81" s="43">
        <v>1.6384884878476891E-2</v>
      </c>
      <c r="AS81" s="43">
        <v>-7.6613697983725304E-2</v>
      </c>
      <c r="AT81" s="43">
        <v>-5.0713261967839318E-2</v>
      </c>
      <c r="AU81" s="43">
        <v>-4.9343840106995218E-2</v>
      </c>
      <c r="AV81" s="43">
        <v>-3.0106651654432381E-3</v>
      </c>
      <c r="AW81" s="43">
        <v>-4.9929982030208153E-2</v>
      </c>
      <c r="AX81" s="43">
        <v>3.2622501050880708E-2</v>
      </c>
      <c r="AY81" s="43">
        <v>-1.426588561576614E-2</v>
      </c>
      <c r="AZ81" s="43">
        <v>-1.2192428990193129E-3</v>
      </c>
    </row>
    <row r="82" spans="1:52" ht="16" x14ac:dyDescent="0.2">
      <c r="A82" s="41">
        <v>42614</v>
      </c>
      <c r="B82" s="44">
        <v>6.5504155855875768E-2</v>
      </c>
      <c r="C82" s="44">
        <v>6.4255832766946241E-3</v>
      </c>
      <c r="D82" s="44">
        <v>6.0893397572076242E-2</v>
      </c>
      <c r="E82" s="44">
        <v>9.0909105370753363E-2</v>
      </c>
      <c r="F82" s="44">
        <v>-1.9110725245905399E-2</v>
      </c>
      <c r="G82" s="44">
        <v>8.860318280928281E-2</v>
      </c>
      <c r="H82" s="44">
        <v>8.322157159266963E-2</v>
      </c>
      <c r="I82" s="44">
        <v>1.654902648692191E-2</v>
      </c>
      <c r="J82" s="44">
        <v>-5.9103064266134098E-2</v>
      </c>
      <c r="K82" s="44">
        <v>8.9058867969691313E-3</v>
      </c>
      <c r="L82" s="44">
        <v>2.3264727158758269E-2</v>
      </c>
      <c r="M82" s="44">
        <v>-1.6938489091015922E-2</v>
      </c>
      <c r="N82" s="44">
        <v>-7.86802940549991E-3</v>
      </c>
      <c r="O82" s="44">
        <v>3.4738499089974617E-2</v>
      </c>
      <c r="P82" s="44">
        <v>9.2891641163253214E-2</v>
      </c>
      <c r="Q82" s="44">
        <v>0.14708523761715869</v>
      </c>
      <c r="R82" s="44">
        <v>1.556258437604718E-2</v>
      </c>
      <c r="S82" s="44">
        <v>1.9314039006171901E-2</v>
      </c>
      <c r="T82" s="44">
        <v>-4.445639300626536E-2</v>
      </c>
      <c r="U82" s="44">
        <v>1.799049237655392E-2</v>
      </c>
      <c r="V82" s="44">
        <v>-4.8330112890813133E-2</v>
      </c>
      <c r="W82" s="44">
        <v>-4.0560478026090092E-2</v>
      </c>
      <c r="X82" s="44">
        <v>0.16263875079621809</v>
      </c>
      <c r="Y82" s="44">
        <v>-1.0139007022217039E-2</v>
      </c>
      <c r="Z82" s="44">
        <v>-1.348136609510475E-2</v>
      </c>
      <c r="AA82" s="44">
        <v>-1.7597183692091841E-2</v>
      </c>
      <c r="AB82" s="44">
        <v>2.8071336026726849E-2</v>
      </c>
      <c r="AC82" s="44">
        <v>-2.593900994244835E-3</v>
      </c>
      <c r="AD82" s="44">
        <v>-2.2821996621374958E-3</v>
      </c>
      <c r="AE82" s="44">
        <v>0</v>
      </c>
      <c r="AF82" s="44">
        <v>2.4360627908024401E-3</v>
      </c>
      <c r="AG82" s="44">
        <v>7.8229232066161281E-2</v>
      </c>
      <c r="AH82" s="44">
        <v>1.141073227126976E-2</v>
      </c>
      <c r="AI82" s="44">
        <v>3.5558971144038942E-2</v>
      </c>
      <c r="AJ82" s="44">
        <v>0.11705272006958881</v>
      </c>
      <c r="AK82" s="44">
        <v>3.733025727757E-2</v>
      </c>
      <c r="AL82" s="44">
        <v>9.5969420361469382E-2</v>
      </c>
      <c r="AM82" s="44">
        <v>2.7945991377208431E-2</v>
      </c>
      <c r="AN82" s="44">
        <v>2.4483906600181179E-2</v>
      </c>
      <c r="AO82" s="44">
        <v>7.8451879401703062E-2</v>
      </c>
      <c r="AP82" s="44">
        <v>1.638571509782594E-2</v>
      </c>
      <c r="AQ82" s="44">
        <v>4.3089220771079788E-2</v>
      </c>
      <c r="AR82" s="44">
        <v>8.6094495927943271E-2</v>
      </c>
      <c r="AS82" s="44">
        <v>2.4124395630577E-2</v>
      </c>
      <c r="AT82" s="44">
        <v>-2.484901653581062E-2</v>
      </c>
      <c r="AU82" s="44">
        <v>-3.4349201032618737E-2</v>
      </c>
      <c r="AV82" s="44">
        <v>9.2033905771335967E-3</v>
      </c>
      <c r="AW82" s="44">
        <v>3.3785396123618971E-2</v>
      </c>
      <c r="AX82" s="44">
        <v>2.0936083838642539E-2</v>
      </c>
      <c r="AY82" s="44">
        <v>9.5189316124717482E-3</v>
      </c>
      <c r="AZ82" s="44">
        <v>-1.234451139317305E-3</v>
      </c>
    </row>
    <row r="83" spans="1:52" ht="16" x14ac:dyDescent="0.2">
      <c r="A83" s="39">
        <v>42644</v>
      </c>
      <c r="B83" s="43">
        <v>4.3344692523519246E-3</v>
      </c>
      <c r="C83" s="43">
        <v>-6.6222293362602547E-2</v>
      </c>
      <c r="D83" s="43">
        <v>-9.4895777649613988E-3</v>
      </c>
      <c r="E83" s="43">
        <v>-3.2874641260238313E-2</v>
      </c>
      <c r="F83" s="43">
        <v>-0.153767690989596</v>
      </c>
      <c r="G83" s="43">
        <v>-5.6717349489147417E-2</v>
      </c>
      <c r="H83" s="43">
        <v>-5.1518095443385807E-2</v>
      </c>
      <c r="I83" s="43">
        <v>-6.4254699734663911E-2</v>
      </c>
      <c r="J83" s="43">
        <v>-3.042392148335327E-2</v>
      </c>
      <c r="K83" s="43">
        <v>-2.4793622490305589E-2</v>
      </c>
      <c r="L83" s="43">
        <v>1.7781139796773319E-2</v>
      </c>
      <c r="M83" s="43">
        <v>-1.8306912852584789E-3</v>
      </c>
      <c r="N83" s="43">
        <v>-6.2027394131341167E-2</v>
      </c>
      <c r="O83" s="43">
        <v>-7.0262304502805795E-2</v>
      </c>
      <c r="P83" s="43">
        <v>-6.3405683416743797E-2</v>
      </c>
      <c r="Q83" s="43">
        <v>-0.17200936793016211</v>
      </c>
      <c r="R83" s="43">
        <v>0.1088736151369538</v>
      </c>
      <c r="S83" s="43">
        <v>-2.365455970348096E-2</v>
      </c>
      <c r="T83" s="43">
        <v>-1.755574487029932E-2</v>
      </c>
      <c r="U83" s="43">
        <v>7.2630898746066652E-3</v>
      </c>
      <c r="V83" s="43">
        <v>0.10522762062871729</v>
      </c>
      <c r="W83" s="43">
        <v>-5.1833899561897989E-2</v>
      </c>
      <c r="X83" s="43">
        <v>-7.7632830880785209E-2</v>
      </c>
      <c r="Y83" s="43">
        <v>-1.8115833307479678E-2</v>
      </c>
      <c r="Z83" s="43">
        <v>4.7657004802124758E-2</v>
      </c>
      <c r="AA83" s="43">
        <v>1.889822920574824E-3</v>
      </c>
      <c r="AB83" s="43">
        <v>5.8394165667141618E-2</v>
      </c>
      <c r="AC83" s="43">
        <v>-2.418540987014595E-2</v>
      </c>
      <c r="AD83" s="43">
        <v>-5.0694570962440122E-2</v>
      </c>
      <c r="AE83" s="43">
        <v>5.3371169115256967E-2</v>
      </c>
      <c r="AF83" s="43">
        <v>4.0277884887469639E-2</v>
      </c>
      <c r="AG83" s="43">
        <v>-3.4870457035933611E-2</v>
      </c>
      <c r="AH83" s="43">
        <v>4.6435674417731887E-2</v>
      </c>
      <c r="AI83" s="43">
        <v>-4.7290037981366988E-2</v>
      </c>
      <c r="AJ83" s="43">
        <v>3.8529223067848888E-2</v>
      </c>
      <c r="AK83" s="43">
        <v>-0.13486001585543031</v>
      </c>
      <c r="AL83" s="43">
        <v>-4.5676937454321553E-2</v>
      </c>
      <c r="AM83" s="43">
        <v>-2.540174879939705E-2</v>
      </c>
      <c r="AN83" s="43">
        <v>-2.2146138309067861E-2</v>
      </c>
      <c r="AO83" s="43">
        <v>-5.916591518181924E-2</v>
      </c>
      <c r="AP83" s="43">
        <v>-2.5775244976455339E-2</v>
      </c>
      <c r="AQ83" s="43">
        <v>-3.029350680548315E-2</v>
      </c>
      <c r="AR83" s="43">
        <v>3.2117076262117021E-3</v>
      </c>
      <c r="AS83" s="43">
        <v>-0.1417840591437399</v>
      </c>
      <c r="AT83" s="43">
        <v>-0.1149425318612788</v>
      </c>
      <c r="AU83" s="43">
        <v>-1.3773813432375159E-2</v>
      </c>
      <c r="AV83" s="43">
        <v>9.5468080851968118E-3</v>
      </c>
      <c r="AW83" s="43">
        <v>9.4997622308448104E-3</v>
      </c>
      <c r="AX83" s="43">
        <v>-9.5867887616895242E-2</v>
      </c>
      <c r="AY83" s="43">
        <v>-2.9118079885084192E-2</v>
      </c>
      <c r="AZ83" s="43">
        <v>-1.9425678909034461E-2</v>
      </c>
    </row>
    <row r="84" spans="1:52" ht="16" x14ac:dyDescent="0.2">
      <c r="A84" s="41">
        <v>42675</v>
      </c>
      <c r="B84" s="44">
        <v>-2.1601144954195291E-2</v>
      </c>
      <c r="C84" s="44">
        <v>-2.9816794322185421E-2</v>
      </c>
      <c r="D84" s="44">
        <v>-4.3716905257625623E-2</v>
      </c>
      <c r="E84" s="44">
        <v>0.3715415734918035</v>
      </c>
      <c r="F84" s="44">
        <v>2.7508727793984718E-2</v>
      </c>
      <c r="G84" s="44">
        <v>-4.9694904402671103E-2</v>
      </c>
      <c r="H84" s="44">
        <v>0.1449792929765383</v>
      </c>
      <c r="I84" s="44">
        <v>0.1243931396756086</v>
      </c>
      <c r="J84" s="44">
        <v>1.827281970899319E-2</v>
      </c>
      <c r="K84" s="44">
        <v>-2.8031225942338419E-2</v>
      </c>
      <c r="L84" s="44">
        <v>7.5673864706580662E-2</v>
      </c>
      <c r="M84" s="44">
        <v>6.9371089190073176E-2</v>
      </c>
      <c r="N84" s="44">
        <v>2.242262698807718E-2</v>
      </c>
      <c r="O84" s="44">
        <v>0.12436453003715719</v>
      </c>
      <c r="P84" s="44">
        <v>0.13381984435462721</v>
      </c>
      <c r="Q84" s="44">
        <v>0.59773369523126818</v>
      </c>
      <c r="R84" s="44">
        <v>1.8377781367099551E-2</v>
      </c>
      <c r="S84" s="44">
        <v>0.16326090733876919</v>
      </c>
      <c r="T84" s="44">
        <v>5.7044420861955381E-2</v>
      </c>
      <c r="U84" s="44">
        <v>-4.2005017755764928E-2</v>
      </c>
      <c r="V84" s="44">
        <v>0.23412026102368139</v>
      </c>
      <c r="W84" s="44">
        <v>6.6200076641573347E-2</v>
      </c>
      <c r="X84" s="44">
        <v>0.17615269035062761</v>
      </c>
      <c r="Y84" s="44">
        <v>-3.3803577820064053E-2</v>
      </c>
      <c r="Z84" s="44">
        <v>0.1575227617740014</v>
      </c>
      <c r="AA84" s="44">
        <v>-4.0303298714335023E-2</v>
      </c>
      <c r="AB84" s="44">
        <v>8.0363264387641076E-2</v>
      </c>
      <c r="AC84" s="44">
        <v>6.7758039909673995E-2</v>
      </c>
      <c r="AD84" s="44">
        <v>-0.1098515465077126</v>
      </c>
      <c r="AE84" s="44">
        <v>0.2320522142437407</v>
      </c>
      <c r="AF84" s="44">
        <v>1.246797545206468E-2</v>
      </c>
      <c r="AG84" s="44">
        <v>0.13811175938077969</v>
      </c>
      <c r="AH84" s="44">
        <v>-0.10073616482333619</v>
      </c>
      <c r="AI84" s="44">
        <v>7.7195088856177208E-2</v>
      </c>
      <c r="AJ84" s="44">
        <v>0.29761155926575111</v>
      </c>
      <c r="AK84" s="44">
        <v>0.1262404572794413</v>
      </c>
      <c r="AL84" s="44">
        <v>0.1342145373767698</v>
      </c>
      <c r="AM84" s="44">
        <v>-4.9999988546901908E-2</v>
      </c>
      <c r="AN84" s="44">
        <v>0.13751580758609741</v>
      </c>
      <c r="AO84" s="44">
        <v>3.0927855323080729E-2</v>
      </c>
      <c r="AP84" s="44">
        <v>-2.4156405631954429E-2</v>
      </c>
      <c r="AQ84" s="44">
        <v>0.21463682750208021</v>
      </c>
      <c r="AR84" s="44">
        <v>-8.3085828162188236E-4</v>
      </c>
      <c r="AS84" s="44">
        <v>9.9182637310753163E-2</v>
      </c>
      <c r="AT84" s="44">
        <v>0.10071864050164819</v>
      </c>
      <c r="AU84" s="44">
        <v>6.6017014319074363E-2</v>
      </c>
      <c r="AV84" s="44">
        <v>5.1106409438186562E-2</v>
      </c>
      <c r="AW84" s="44">
        <v>0.1246754983381599</v>
      </c>
      <c r="AX84" s="44">
        <v>0.1559765151982164</v>
      </c>
      <c r="AY84" s="44">
        <v>5.8555363317622788E-3</v>
      </c>
      <c r="AZ84" s="44">
        <v>3.4174521829295028E-2</v>
      </c>
    </row>
    <row r="85" spans="1:52" ht="16" x14ac:dyDescent="0.2">
      <c r="A85" s="39">
        <v>42705</v>
      </c>
      <c r="B85" s="43">
        <v>4.7955404066742917E-2</v>
      </c>
      <c r="C85" s="43">
        <v>8.9309822914636072E-3</v>
      </c>
      <c r="D85" s="43">
        <v>1.361729335404904E-3</v>
      </c>
      <c r="E85" s="43">
        <v>1.008641113618935E-2</v>
      </c>
      <c r="F85" s="43">
        <v>1.485400059636288E-2</v>
      </c>
      <c r="G85" s="43">
        <v>-9.3262048262265917E-4</v>
      </c>
      <c r="H85" s="43">
        <v>-2.951017619299778E-2</v>
      </c>
      <c r="I85" s="43">
        <v>-2.70455121251667E-3</v>
      </c>
      <c r="J85" s="43">
        <v>6.661775470587683E-2</v>
      </c>
      <c r="K85" s="43">
        <v>1.3413837930644769E-2</v>
      </c>
      <c r="L85" s="43">
        <v>5.5037453647498007E-2</v>
      </c>
      <c r="M85" s="43">
        <v>5.9556036002319068E-2</v>
      </c>
      <c r="N85" s="43">
        <v>7.2513782817948957E-3</v>
      </c>
      <c r="O85" s="43">
        <v>-1.222523498479733E-2</v>
      </c>
      <c r="P85" s="43">
        <v>-1.3851045856146049E-2</v>
      </c>
      <c r="Q85" s="43">
        <v>-0.1187943392327746</v>
      </c>
      <c r="R85" s="43">
        <v>2.820604774922297E-2</v>
      </c>
      <c r="S85" s="43">
        <v>-1.534066333969464E-2</v>
      </c>
      <c r="T85" s="43">
        <v>3.5040227130411987E-2</v>
      </c>
      <c r="U85" s="43">
        <v>2.1356185319556961E-2</v>
      </c>
      <c r="V85" s="43">
        <v>9.1933568355022866E-2</v>
      </c>
      <c r="W85" s="43">
        <v>3.6166748312109982E-2</v>
      </c>
      <c r="X85" s="43">
        <v>-1.9747817522546399E-2</v>
      </c>
      <c r="Y85" s="43">
        <v>3.5130359728428928E-2</v>
      </c>
      <c r="Z85" s="43">
        <v>7.6337404846718249E-2</v>
      </c>
      <c r="AA85" s="43">
        <v>2.750893890743877E-2</v>
      </c>
      <c r="AB85" s="43">
        <v>-0.1147369639117756</v>
      </c>
      <c r="AC85" s="43">
        <v>2.054147541966711E-2</v>
      </c>
      <c r="AD85" s="43">
        <v>-1.855418915131557E-2</v>
      </c>
      <c r="AE85" s="43">
        <v>2.1518220159068461E-2</v>
      </c>
      <c r="AF85" s="43">
        <v>3.1198227194331411E-2</v>
      </c>
      <c r="AG85" s="43">
        <v>0.1223757271827903</v>
      </c>
      <c r="AH85" s="43">
        <v>4.578467975922007E-2</v>
      </c>
      <c r="AI85" s="43">
        <v>-3.5284546476876073E-2</v>
      </c>
      <c r="AJ85" s="43">
        <v>0.1577005676587975</v>
      </c>
      <c r="AK85" s="43">
        <v>5.8536462068723427E-2</v>
      </c>
      <c r="AL85" s="43">
        <v>4.5148078026157279E-2</v>
      </c>
      <c r="AM85" s="43">
        <v>1.9645679728703899E-2</v>
      </c>
      <c r="AN85" s="43">
        <v>7.7019767705093223E-3</v>
      </c>
      <c r="AO85" s="43">
        <v>0.13000001907348621</v>
      </c>
      <c r="AP85" s="43">
        <v>4.5615961875088207E-2</v>
      </c>
      <c r="AQ85" s="43">
        <v>3.5971231044954477E-2</v>
      </c>
      <c r="AR85" s="43">
        <v>-4.300609067750194E-2</v>
      </c>
      <c r="AS85" s="43">
        <v>-3.20376594072731E-2</v>
      </c>
      <c r="AT85" s="43">
        <v>2.6052422498468181E-4</v>
      </c>
      <c r="AU85" s="43">
        <v>-4.0975313468821328E-2</v>
      </c>
      <c r="AV85" s="43">
        <v>-1.298520401709213E-2</v>
      </c>
      <c r="AW85" s="43">
        <v>1.0863679173676919E-2</v>
      </c>
      <c r="AX85" s="43">
        <v>2.319195124804985E-2</v>
      </c>
      <c r="AY85" s="43">
        <v>-1.157559227661442E-2</v>
      </c>
      <c r="AZ85" s="43">
        <v>1.8200762441865859E-2</v>
      </c>
    </row>
    <row r="86" spans="1:52" ht="16" x14ac:dyDescent="0.2">
      <c r="A86" s="41">
        <v>42736</v>
      </c>
      <c r="B86" s="44">
        <v>4.7746336219727681E-2</v>
      </c>
      <c r="C86" s="44">
        <v>9.4501631014507481E-2</v>
      </c>
      <c r="D86" s="44">
        <v>0.1013113221403925</v>
      </c>
      <c r="E86" s="44">
        <v>-2.567753868108558E-2</v>
      </c>
      <c r="F86" s="44">
        <v>7.1609517019740609E-2</v>
      </c>
      <c r="G86" s="44">
        <v>9.8163683157969306E-2</v>
      </c>
      <c r="H86" s="44">
        <v>4.0044527769840021E-2</v>
      </c>
      <c r="I86" s="44">
        <v>9.225167294011305E-2</v>
      </c>
      <c r="J86" s="44">
        <v>2.398318554251766E-2</v>
      </c>
      <c r="K86" s="44">
        <v>2.5274117925441871E-2</v>
      </c>
      <c r="L86" s="44">
        <v>-5.3950441927840258E-2</v>
      </c>
      <c r="M86" s="44">
        <v>6.1696430077915483E-2</v>
      </c>
      <c r="N86" s="44">
        <v>2.4825295969901351E-2</v>
      </c>
      <c r="O86" s="44">
        <v>5.2197217194807077E-2</v>
      </c>
      <c r="P86" s="44">
        <v>6.3590510569671022E-3</v>
      </c>
      <c r="Q86" s="44">
        <v>0.21529181922684201</v>
      </c>
      <c r="R86" s="44">
        <v>-7.3866793471785708E-2</v>
      </c>
      <c r="S86" s="44">
        <v>5.3315784748720452E-2</v>
      </c>
      <c r="T86" s="44">
        <v>-6.0126802604522078E-2</v>
      </c>
      <c r="U86" s="44">
        <v>3.5005417978396743E-2</v>
      </c>
      <c r="V86" s="44">
        <v>-4.2305313458497529E-2</v>
      </c>
      <c r="W86" s="44">
        <v>2.6104057224069169E-2</v>
      </c>
      <c r="X86" s="44">
        <v>0.20883617375541449</v>
      </c>
      <c r="Y86" s="44">
        <v>-1.701255518838829E-2</v>
      </c>
      <c r="Z86" s="44">
        <v>-1.381072773219927E-2</v>
      </c>
      <c r="AA86" s="44">
        <v>2.6534973431329161E-3</v>
      </c>
      <c r="AB86" s="44">
        <v>9.7840503124693168E-3</v>
      </c>
      <c r="AC86" s="44">
        <v>6.9833813903144026E-3</v>
      </c>
      <c r="AD86" s="44">
        <v>6.7246665676273576E-2</v>
      </c>
      <c r="AE86" s="44">
        <v>1.0270716797883271E-2</v>
      </c>
      <c r="AF86" s="44">
        <v>4.0392941506572022E-2</v>
      </c>
      <c r="AG86" s="44">
        <v>9.9908723911381614E-2</v>
      </c>
      <c r="AH86" s="44">
        <v>3.5660046958439377E-2</v>
      </c>
      <c r="AI86" s="44">
        <v>9.2310426836246018E-2</v>
      </c>
      <c r="AJ86" s="44">
        <v>2.285929269854603E-2</v>
      </c>
      <c r="AK86" s="44">
        <v>-1.276133261648371E-2</v>
      </c>
      <c r="AL86" s="44">
        <v>-2.931575721800439E-2</v>
      </c>
      <c r="AM86" s="44">
        <v>5.0121818650892942E-2</v>
      </c>
      <c r="AN86" s="44">
        <v>5.092821553536675E-2</v>
      </c>
      <c r="AO86" s="44">
        <v>1.7699097866309851E-2</v>
      </c>
      <c r="AP86" s="44">
        <v>-7.463530439785282E-2</v>
      </c>
      <c r="AQ86" s="44">
        <v>-2.7343661691328069E-2</v>
      </c>
      <c r="AR86" s="44">
        <v>-0.18052133403807921</v>
      </c>
      <c r="AS86" s="44">
        <v>-2.1248277786980799E-2</v>
      </c>
      <c r="AT86" s="44">
        <v>0.1304978502582379</v>
      </c>
      <c r="AU86" s="44">
        <v>-2.795099655072852E-3</v>
      </c>
      <c r="AV86" s="44">
        <v>4.1791905830925513E-2</v>
      </c>
      <c r="AW86" s="44">
        <v>1.2872210044714279E-2</v>
      </c>
      <c r="AX86" s="44">
        <v>2.797038149339914E-2</v>
      </c>
      <c r="AY86" s="44">
        <v>-3.4433399509690148E-2</v>
      </c>
      <c r="AZ86" s="44">
        <v>1.7884358198382522E-2</v>
      </c>
    </row>
    <row r="87" spans="1:52" ht="16" x14ac:dyDescent="0.2">
      <c r="A87" s="39">
        <v>42767</v>
      </c>
      <c r="B87" s="43">
        <v>0.13377790645324161</v>
      </c>
      <c r="C87" s="43">
        <v>7.9243757553804084E-2</v>
      </c>
      <c r="D87" s="43">
        <v>4.3746685523253781E-2</v>
      </c>
      <c r="E87" s="43">
        <v>-5.7101044679653712E-2</v>
      </c>
      <c r="F87" s="43">
        <v>0.13446175672103489</v>
      </c>
      <c r="G87" s="43">
        <v>2.618154953570739E-2</v>
      </c>
      <c r="H87" s="43">
        <v>1.045366624778965E-2</v>
      </c>
      <c r="I87" s="43">
        <v>-7.6899897279293361E-3</v>
      </c>
      <c r="J87" s="43">
        <v>8.3606380922254919E-2</v>
      </c>
      <c r="K87" s="43">
        <v>0.1126298443822864</v>
      </c>
      <c r="L87" s="43">
        <v>1.9998434075023889E-2</v>
      </c>
      <c r="M87" s="43">
        <v>-5.0610596938590602E-3</v>
      </c>
      <c r="N87" s="43">
        <v>3.1965111395776402E-2</v>
      </c>
      <c r="O87" s="43">
        <v>3.2273174325929022E-2</v>
      </c>
      <c r="P87" s="43">
        <v>-4.5186157702943652E-2</v>
      </c>
      <c r="Q87" s="43">
        <v>0.1881898283375785</v>
      </c>
      <c r="R87" s="43">
        <v>6.8939831211811686E-2</v>
      </c>
      <c r="S87" s="43">
        <v>4.8211052365868978E-2</v>
      </c>
      <c r="T87" s="43">
        <v>1.170900932568664E-2</v>
      </c>
      <c r="U87" s="43">
        <v>3.0163789104390441E-2</v>
      </c>
      <c r="V87" s="43">
        <v>8.4546952691726629E-2</v>
      </c>
      <c r="W87" s="43">
        <v>5.3278358179273073E-2</v>
      </c>
      <c r="X87" s="43">
        <v>9.8094275297838207E-2</v>
      </c>
      <c r="Y87" s="43">
        <v>8.6257559383347227E-2</v>
      </c>
      <c r="Z87" s="43">
        <v>7.077899129713261E-2</v>
      </c>
      <c r="AA87" s="43">
        <v>9.3817064494021718E-3</v>
      </c>
      <c r="AB87" s="43">
        <v>6.6891026991255709E-2</v>
      </c>
      <c r="AC87" s="43">
        <v>4.9111096520067621E-2</v>
      </c>
      <c r="AD87" s="43">
        <v>6.432555659202488E-2</v>
      </c>
      <c r="AE87" s="43">
        <v>7.4841013605210005E-2</v>
      </c>
      <c r="AF87" s="43">
        <v>-4.3635930169838577E-3</v>
      </c>
      <c r="AG87" s="43">
        <v>-2.7789275323612861E-2</v>
      </c>
      <c r="AH87" s="43">
        <v>6.6962484713543269E-2</v>
      </c>
      <c r="AI87" s="43">
        <v>9.1597026806568893E-2</v>
      </c>
      <c r="AJ87" s="43">
        <v>-6.9352832431790357E-2</v>
      </c>
      <c r="AK87" s="43">
        <v>2.222999174581064E-2</v>
      </c>
      <c r="AL87" s="43">
        <v>-1.9234124479193371E-2</v>
      </c>
      <c r="AM87" s="43">
        <v>3.9612041433679357E-2</v>
      </c>
      <c r="AN87" s="43">
        <v>5.711788122784478E-2</v>
      </c>
      <c r="AO87" s="43">
        <v>-6.9565233976944585E-2</v>
      </c>
      <c r="AP87" s="43">
        <v>4.503582374202697E-2</v>
      </c>
      <c r="AQ87" s="43">
        <v>0.1329763387314862</v>
      </c>
      <c r="AR87" s="43">
        <v>6.6966618761431951E-2</v>
      </c>
      <c r="AS87" s="43">
        <v>3.9550371974917287E-2</v>
      </c>
      <c r="AT87" s="43">
        <v>1.833919458647304E-2</v>
      </c>
      <c r="AU87" s="43">
        <v>5.074376313018325E-2</v>
      </c>
      <c r="AV87" s="43">
        <v>1.429709896607601E-2</v>
      </c>
      <c r="AW87" s="43">
        <v>2.023446763114789E-2</v>
      </c>
      <c r="AX87" s="43">
        <v>1.853549594229387E-2</v>
      </c>
      <c r="AY87" s="43">
        <v>6.2781230860607717E-2</v>
      </c>
      <c r="AZ87" s="43">
        <v>3.719816006681631E-2</v>
      </c>
    </row>
    <row r="88" spans="1:52" ht="16" x14ac:dyDescent="0.2">
      <c r="A88" s="41">
        <v>42795</v>
      </c>
      <c r="B88" s="44">
        <v>4.8689695610168338E-2</v>
      </c>
      <c r="C88" s="44">
        <v>-1.486273469638855E-2</v>
      </c>
      <c r="D88" s="44">
        <v>9.9628265250730763E-2</v>
      </c>
      <c r="E88" s="44">
        <v>-6.2112036708286134E-3</v>
      </c>
      <c r="F88" s="44">
        <v>-7.0582684424663755E-2</v>
      </c>
      <c r="G88" s="44">
        <v>4.9110120630820868E-2</v>
      </c>
      <c r="H88" s="44">
        <v>-4.0347354598867291E-2</v>
      </c>
      <c r="I88" s="44">
        <v>4.5428812761358914E-3</v>
      </c>
      <c r="J88" s="44">
        <v>-5.3561346893109867E-2</v>
      </c>
      <c r="K88" s="44">
        <v>-1.1117537238761519E-2</v>
      </c>
      <c r="L88" s="44">
        <v>-4.5599974041144797E-2</v>
      </c>
      <c r="M88" s="44">
        <v>2.997550457895248E-2</v>
      </c>
      <c r="N88" s="44">
        <v>1.4048123334731381E-2</v>
      </c>
      <c r="O88" s="44">
        <v>-3.9931024681475469E-3</v>
      </c>
      <c r="P88" s="44">
        <v>5.7741572708898134E-3</v>
      </c>
      <c r="Q88" s="44">
        <v>6.5025260187416833E-3</v>
      </c>
      <c r="R88" s="44">
        <v>-4.8858583609098227E-3</v>
      </c>
      <c r="S88" s="44">
        <v>-1.3751010318178941E-2</v>
      </c>
      <c r="T88" s="44">
        <v>-3.3543490236886958E-4</v>
      </c>
      <c r="U88" s="44">
        <v>3.396815175844337E-3</v>
      </c>
      <c r="V88" s="44">
        <v>-7.3933514044774995E-2</v>
      </c>
      <c r="W88" s="44">
        <v>1.9415741241081141E-2</v>
      </c>
      <c r="X88" s="44">
        <v>4.2824345551599752E-3</v>
      </c>
      <c r="Y88" s="44">
        <v>1.9147555031001628E-2</v>
      </c>
      <c r="Z88" s="44">
        <v>-3.0678047308160261E-2</v>
      </c>
      <c r="AA88" s="44">
        <v>2.0367276635815609E-2</v>
      </c>
      <c r="AB88" s="44">
        <v>0.1005370085253403</v>
      </c>
      <c r="AC88" s="44">
        <v>1.535461348112022E-2</v>
      </c>
      <c r="AD88" s="44">
        <v>9.7968029241690679E-4</v>
      </c>
      <c r="AE88" s="44">
        <v>-6.1966346396024503E-2</v>
      </c>
      <c r="AF88" s="44">
        <v>2.9383915663764752E-2</v>
      </c>
      <c r="AG88" s="44">
        <v>0.23293534760325271</v>
      </c>
      <c r="AH88" s="44">
        <v>-2.007639134231454E-2</v>
      </c>
      <c r="AI88" s="44">
        <v>4.7796733339700031E-4</v>
      </c>
      <c r="AJ88" s="44">
        <v>7.3413823097157271E-2</v>
      </c>
      <c r="AK88" s="44">
        <v>-4.3785312275409487E-2</v>
      </c>
      <c r="AL88" s="44">
        <v>2.5716922343349321E-2</v>
      </c>
      <c r="AM88" s="44">
        <v>-1.339638858299408E-2</v>
      </c>
      <c r="AN88" s="44">
        <v>3.5391589559726988E-2</v>
      </c>
      <c r="AO88" s="44">
        <v>0</v>
      </c>
      <c r="AP88" s="44">
        <v>2.5391710868035711E-2</v>
      </c>
      <c r="AQ88" s="44">
        <v>6.3804619436155008E-2</v>
      </c>
      <c r="AR88" s="44">
        <v>1.522665525650257E-2</v>
      </c>
      <c r="AS88" s="44">
        <v>3.7510039643912529E-2</v>
      </c>
      <c r="AT88" s="44">
        <v>5.3476281500024481E-3</v>
      </c>
      <c r="AU88" s="44">
        <v>8.0303710186908628E-3</v>
      </c>
      <c r="AV88" s="44">
        <v>5.1422709242631807E-2</v>
      </c>
      <c r="AW88" s="44">
        <v>-4.587803287630754E-3</v>
      </c>
      <c r="AX88" s="44">
        <v>-1.8713979362251169E-2</v>
      </c>
      <c r="AY88" s="44">
        <v>2.368497576553175E-2</v>
      </c>
      <c r="AZ88" s="44">
        <v>-3.8919713526941457E-4</v>
      </c>
    </row>
    <row r="89" spans="1:52" ht="16" x14ac:dyDescent="0.2">
      <c r="A89" s="39">
        <v>42826</v>
      </c>
      <c r="B89" s="43">
        <v>-6.9588549934551658E-5</v>
      </c>
      <c r="C89" s="43">
        <v>-1.1327895018263029E-2</v>
      </c>
      <c r="D89" s="43">
        <v>2.774149292934025E-2</v>
      </c>
      <c r="E89" s="43">
        <v>6.093752384185791E-2</v>
      </c>
      <c r="F89" s="43">
        <v>-4.5711874016853837E-3</v>
      </c>
      <c r="G89" s="43">
        <v>4.3370871588667807E-2</v>
      </c>
      <c r="H89" s="43">
        <v>0.11157153488872271</v>
      </c>
      <c r="I89" s="43">
        <v>4.696539222011209E-2</v>
      </c>
      <c r="J89" s="43">
        <v>5.862005963532968E-2</v>
      </c>
      <c r="K89" s="43">
        <v>1.676936328841272E-2</v>
      </c>
      <c r="L89" s="43">
        <v>-6.2400765655652446E-3</v>
      </c>
      <c r="M89" s="43">
        <v>1.949017936249375E-2</v>
      </c>
      <c r="N89" s="43">
        <v>2.991862875113882E-2</v>
      </c>
      <c r="O89" s="43">
        <v>7.0162046477537654E-3</v>
      </c>
      <c r="P89" s="43">
        <v>-5.0149610032161118E-2</v>
      </c>
      <c r="Q89" s="43">
        <v>3.3687103814776582E-2</v>
      </c>
      <c r="R89" s="43">
        <v>-9.4269493939509452E-2</v>
      </c>
      <c r="S89" s="43">
        <v>3.9856078337290317E-2</v>
      </c>
      <c r="T89" s="43">
        <v>-2.718103514232717E-2</v>
      </c>
      <c r="U89" s="43">
        <v>9.0493152875211091E-2</v>
      </c>
      <c r="V89" s="43">
        <v>-2.577031717800771E-2</v>
      </c>
      <c r="W89" s="43">
        <v>6.3134427367937729E-2</v>
      </c>
      <c r="X89" s="43">
        <v>-7.0247621143679773E-2</v>
      </c>
      <c r="Y89" s="43">
        <v>-8.6711829887791136E-3</v>
      </c>
      <c r="Z89" s="43">
        <v>-3.8718364908850722E-3</v>
      </c>
      <c r="AA89" s="43">
        <v>1.6729179411998141E-2</v>
      </c>
      <c r="AB89" s="43">
        <v>-1.4298417610579929E-2</v>
      </c>
      <c r="AC89" s="43">
        <v>7.9623511959073134E-2</v>
      </c>
      <c r="AD89" s="43">
        <v>3.1405586769524867E-2</v>
      </c>
      <c r="AE89" s="43">
        <v>1.6955771147112889E-2</v>
      </c>
      <c r="AF89" s="43">
        <v>3.9477597416439407E-2</v>
      </c>
      <c r="AG89" s="43">
        <v>-4.2560627754403391E-2</v>
      </c>
      <c r="AH89" s="43">
        <v>4.0430240260586503E-2</v>
      </c>
      <c r="AI89" s="43">
        <v>-4.3376646719919809E-2</v>
      </c>
      <c r="AJ89" s="43">
        <v>-4.2504730173485661E-2</v>
      </c>
      <c r="AK89" s="43">
        <v>-2.5480119254593921E-2</v>
      </c>
      <c r="AL89" s="43">
        <v>-4.0215815776074249E-2</v>
      </c>
      <c r="AM89" s="43">
        <v>-2.060421375480392E-2</v>
      </c>
      <c r="AN89" s="43">
        <v>2.9940273766850818E-3</v>
      </c>
      <c r="AO89" s="43">
        <v>7.4766374298637084E-2</v>
      </c>
      <c r="AP89" s="43">
        <v>4.876632303714179E-2</v>
      </c>
      <c r="AQ89" s="43">
        <v>5.5164693787876702E-2</v>
      </c>
      <c r="AR89" s="43">
        <v>-6.2783609928861783E-2</v>
      </c>
      <c r="AS89" s="43">
        <v>2.5288527382694159E-3</v>
      </c>
      <c r="AT89" s="43">
        <v>7.8951809967334086E-2</v>
      </c>
      <c r="AU89" s="43">
        <v>-5.5640275815866946E-3</v>
      </c>
      <c r="AV89" s="43">
        <v>-1.103343680198798E-2</v>
      </c>
      <c r="AW89" s="43">
        <v>6.6277204543483847E-2</v>
      </c>
      <c r="AX89" s="43">
        <v>5.7024070720489872E-2</v>
      </c>
      <c r="AY89" s="43">
        <v>4.3008063150729033E-2</v>
      </c>
      <c r="AZ89" s="43">
        <v>9.0912087488546067E-3</v>
      </c>
    </row>
    <row r="90" spans="1:52" ht="16" x14ac:dyDescent="0.2">
      <c r="A90" s="41">
        <v>42856</v>
      </c>
      <c r="B90" s="44">
        <v>6.7807430825892911E-2</v>
      </c>
      <c r="C90" s="44">
        <v>4.6287802563141238E-2</v>
      </c>
      <c r="D90" s="44">
        <v>6.0714780796106149E-2</v>
      </c>
      <c r="E90" s="44">
        <v>9.2783435652238566E-2</v>
      </c>
      <c r="F90" s="44">
        <v>-4.2601691705780882E-2</v>
      </c>
      <c r="G90" s="44">
        <v>7.5276461314963905E-2</v>
      </c>
      <c r="H90" s="44">
        <v>3.099972489015768E-2</v>
      </c>
      <c r="I90" s="44">
        <v>6.3791371225644822E-2</v>
      </c>
      <c r="J90" s="44">
        <v>6.0541572102074559E-2</v>
      </c>
      <c r="K90" s="44">
        <v>-7.4552197973699941E-2</v>
      </c>
      <c r="L90" s="44">
        <v>-2.031276127052906E-2</v>
      </c>
      <c r="M90" s="44">
        <v>-6.6262775751333436E-2</v>
      </c>
      <c r="N90" s="44">
        <v>2.90496378650964E-2</v>
      </c>
      <c r="O90" s="44">
        <v>-1.117835496989672E-2</v>
      </c>
      <c r="P90" s="44">
        <v>-2.3675430265582609E-2</v>
      </c>
      <c r="Q90" s="44">
        <v>-0.16473216950437289</v>
      </c>
      <c r="R90" s="44">
        <v>-7.744133525802277E-3</v>
      </c>
      <c r="S90" s="44">
        <v>4.8815824678818183E-2</v>
      </c>
      <c r="T90" s="44">
        <v>-5.5536709552629571E-2</v>
      </c>
      <c r="U90" s="44">
        <v>6.7678181472680787E-2</v>
      </c>
      <c r="V90" s="44">
        <v>-5.285463287751746E-2</v>
      </c>
      <c r="W90" s="44">
        <v>-1.0908949181566711E-2</v>
      </c>
      <c r="X90" s="44">
        <v>4.0634077094946493E-2</v>
      </c>
      <c r="Y90" s="44">
        <v>4.5601792693490628E-2</v>
      </c>
      <c r="Z90" s="44">
        <v>-5.5746924845963768E-2</v>
      </c>
      <c r="AA90" s="44">
        <v>5.3765815345637513E-2</v>
      </c>
      <c r="AB90" s="44">
        <v>-1.365363476210602E-2</v>
      </c>
      <c r="AC90" s="44">
        <v>7.8325090048738444E-2</v>
      </c>
      <c r="AD90" s="44">
        <v>1.432165528255824E-2</v>
      </c>
      <c r="AE90" s="44">
        <v>-3.7583476969683449E-2</v>
      </c>
      <c r="AF90" s="44">
        <v>2.6005539407640828E-2</v>
      </c>
      <c r="AG90" s="44">
        <v>0.11203459150595819</v>
      </c>
      <c r="AH90" s="44">
        <v>6.6479462715846704E-2</v>
      </c>
      <c r="AI90" s="44">
        <v>1.6060076739691901E-2</v>
      </c>
      <c r="AJ90" s="44">
        <v>0.38544621999141082</v>
      </c>
      <c r="AK90" s="44">
        <v>-7.0914181665554965E-2</v>
      </c>
      <c r="AL90" s="44">
        <v>-5.5693304993134962E-2</v>
      </c>
      <c r="AM90" s="44">
        <v>8.7025408675551752E-3</v>
      </c>
      <c r="AN90" s="44">
        <v>-1.663235328136203E-2</v>
      </c>
      <c r="AO90" s="44">
        <v>-0.1260869399360989</v>
      </c>
      <c r="AP90" s="44">
        <v>2.076838862068775E-2</v>
      </c>
      <c r="AQ90" s="44">
        <v>0.1052632895826415</v>
      </c>
      <c r="AR90" s="44">
        <v>7.6181828701344712E-2</v>
      </c>
      <c r="AS90" s="44">
        <v>0.18165197093687729</v>
      </c>
      <c r="AT90" s="44">
        <v>-6.1874155845045298E-3</v>
      </c>
      <c r="AU90" s="44">
        <v>-3.978815579577144E-2</v>
      </c>
      <c r="AV90" s="44">
        <v>4.1803410017624332E-2</v>
      </c>
      <c r="AW90" s="44">
        <v>1.7147968570527809E-3</v>
      </c>
      <c r="AX90" s="44">
        <v>-9.3635004455093762E-3</v>
      </c>
      <c r="AY90" s="44">
        <v>5.2487327141752527E-2</v>
      </c>
      <c r="AZ90" s="44">
        <v>1.157625124632866E-2</v>
      </c>
    </row>
    <row r="91" spans="1:52" ht="16" x14ac:dyDescent="0.2">
      <c r="A91" s="39">
        <v>42887</v>
      </c>
      <c r="B91" s="43">
        <v>-5.7214030034812617E-2</v>
      </c>
      <c r="C91" s="43">
        <v>6.4607848269909063E-2</v>
      </c>
      <c r="D91" s="43">
        <v>-2.960652524589547E-3</v>
      </c>
      <c r="E91" s="43">
        <v>2.6954795938365361E-3</v>
      </c>
      <c r="F91" s="43">
        <v>0.1094438965733173</v>
      </c>
      <c r="G91" s="43">
        <v>-2.6763939876424111E-2</v>
      </c>
      <c r="H91" s="43">
        <v>1.925441771867176E-2</v>
      </c>
      <c r="I91" s="43">
        <v>-6.2632610793798449E-2</v>
      </c>
      <c r="J91" s="43">
        <v>-0.113617593376385</v>
      </c>
      <c r="K91" s="43">
        <v>-7.2948247701682964E-3</v>
      </c>
      <c r="L91" s="43">
        <v>8.2143628851487627E-3</v>
      </c>
      <c r="M91" s="43">
        <v>-1.565694475318136E-2</v>
      </c>
      <c r="N91" s="43">
        <v>2.0926467944821781E-3</v>
      </c>
      <c r="O91" s="43">
        <v>8.4571162542033118E-3</v>
      </c>
      <c r="P91" s="43">
        <v>2.3248587272222121E-3</v>
      </c>
      <c r="Q91" s="43">
        <v>0.3164083573476455</v>
      </c>
      <c r="R91" s="43">
        <v>-8.3509504678266344E-3</v>
      </c>
      <c r="S91" s="43">
        <v>-2.5338150854351541E-2</v>
      </c>
      <c r="T91" s="43">
        <v>-5.1914470665220813E-3</v>
      </c>
      <c r="U91" s="43">
        <v>-5.8160747413864122E-2</v>
      </c>
      <c r="V91" s="43">
        <v>5.0364559058919678E-2</v>
      </c>
      <c r="W91" s="43">
        <v>-7.16646091304729E-4</v>
      </c>
      <c r="X91" s="43">
        <v>-2.6443965982563711E-2</v>
      </c>
      <c r="Y91" s="43">
        <v>3.1500870156383247E-2</v>
      </c>
      <c r="Z91" s="43">
        <v>0.1125990599611781</v>
      </c>
      <c r="AA91" s="43">
        <v>-5.5181893034103044E-3</v>
      </c>
      <c r="AB91" s="43">
        <v>4.5327138919439847E-2</v>
      </c>
      <c r="AC91" s="43">
        <v>2.1406742742064559E-2</v>
      </c>
      <c r="AD91" s="43">
        <v>5.3037728474324641E-2</v>
      </c>
      <c r="AE91" s="43">
        <v>6.7561133855604139E-2</v>
      </c>
      <c r="AF91" s="43">
        <v>-1.3029889321331201E-2</v>
      </c>
      <c r="AG91" s="43">
        <v>-2.957413732988079E-2</v>
      </c>
      <c r="AH91" s="43">
        <v>-9.2618136692130815E-3</v>
      </c>
      <c r="AI91" s="43">
        <v>-1.086699654615253E-2</v>
      </c>
      <c r="AJ91" s="43">
        <v>1.454905954670016E-3</v>
      </c>
      <c r="AK91" s="43">
        <v>-6.3166486072854022E-2</v>
      </c>
      <c r="AL91" s="43">
        <v>4.9920242292009531E-2</v>
      </c>
      <c r="AM91" s="43">
        <v>-1.0670876022096929E-2</v>
      </c>
      <c r="AN91" s="43">
        <v>1.492356959294816E-2</v>
      </c>
      <c r="AO91" s="43">
        <v>-6.4676672623730669E-2</v>
      </c>
      <c r="AP91" s="43">
        <v>6.4010330328621023E-2</v>
      </c>
      <c r="AQ91" s="43">
        <v>-5.9047782339562871E-2</v>
      </c>
      <c r="AR91" s="43">
        <v>-3.5795459129832841E-2</v>
      </c>
      <c r="AS91" s="43">
        <v>6.9882052244244486E-2</v>
      </c>
      <c r="AT91" s="43">
        <v>5.7841246075059687E-2</v>
      </c>
      <c r="AU91" s="43">
        <v>-4.041995008094823E-2</v>
      </c>
      <c r="AV91" s="43">
        <v>-6.7402268501243978E-2</v>
      </c>
      <c r="AW91" s="43">
        <v>6.2825413479969505E-2</v>
      </c>
      <c r="AX91" s="43">
        <v>-1.260157137888074E-2</v>
      </c>
      <c r="AY91" s="43">
        <v>-3.7150506816446383E-2</v>
      </c>
      <c r="AZ91" s="43">
        <v>4.8137752078125651E-3</v>
      </c>
    </row>
    <row r="92" spans="1:52" ht="16" x14ac:dyDescent="0.2">
      <c r="A92" s="41">
        <v>42917</v>
      </c>
      <c r="B92" s="44">
        <v>3.2703742807128178E-2</v>
      </c>
      <c r="C92" s="44">
        <v>1.732544894874621E-2</v>
      </c>
      <c r="D92" s="44">
        <v>3.5704206480410949E-2</v>
      </c>
      <c r="E92" s="44">
        <v>-8.736558960605767E-2</v>
      </c>
      <c r="F92" s="44">
        <v>1.323769269892483E-2</v>
      </c>
      <c r="G92" s="44">
        <v>2.043385086583371E-2</v>
      </c>
      <c r="H92" s="44">
        <v>6.8048735136846172E-2</v>
      </c>
      <c r="I92" s="44">
        <v>3.9311424442702643E-2</v>
      </c>
      <c r="J92" s="44">
        <v>-8.8784714823495481E-3</v>
      </c>
      <c r="K92" s="44">
        <v>1.417986990094278E-2</v>
      </c>
      <c r="L92" s="44">
        <v>4.6582760114047377E-2</v>
      </c>
      <c r="M92" s="44">
        <v>4.2332148595882302E-2</v>
      </c>
      <c r="N92" s="44">
        <v>-8.1359435073441455E-3</v>
      </c>
      <c r="O92" s="44">
        <v>-1.6750243985663721E-4</v>
      </c>
      <c r="P92" s="44">
        <v>5.2992068671396719E-2</v>
      </c>
      <c r="Q92" s="44">
        <v>0.1006902774700611</v>
      </c>
      <c r="R92" s="44">
        <v>-4.9661558947251661E-2</v>
      </c>
      <c r="S92" s="44">
        <v>-4.7478891613200744E-3</v>
      </c>
      <c r="T92" s="44">
        <v>-5.1832760230234858E-2</v>
      </c>
      <c r="U92" s="44">
        <v>1.7016659097337069E-2</v>
      </c>
      <c r="V92" s="44">
        <v>1.5457661899899829E-2</v>
      </c>
      <c r="W92" s="44">
        <v>-2.4771908290866729E-2</v>
      </c>
      <c r="X92" s="44">
        <v>5.8613211098208717E-2</v>
      </c>
      <c r="Y92" s="44">
        <v>3.2505868950367671E-3</v>
      </c>
      <c r="Z92" s="44">
        <v>9.9008297173448501E-3</v>
      </c>
      <c r="AA92" s="44">
        <v>2.2073746008348442E-2</v>
      </c>
      <c r="AB92" s="44">
        <v>2.7114632351604721E-2</v>
      </c>
      <c r="AC92" s="44">
        <v>1.292796973718136E-2</v>
      </c>
      <c r="AD92" s="44">
        <v>-4.8933323435345621E-2</v>
      </c>
      <c r="AE92" s="44">
        <v>5.8116760433051251E-2</v>
      </c>
      <c r="AF92" s="44">
        <v>5.4693141169708907E-2</v>
      </c>
      <c r="AG92" s="44">
        <v>-5.8272081232505712E-2</v>
      </c>
      <c r="AH92" s="44">
        <v>4.2532290155072872E-2</v>
      </c>
      <c r="AI92" s="44">
        <v>8.9652580478539745E-2</v>
      </c>
      <c r="AJ92" s="44">
        <v>0.1241700898186469</v>
      </c>
      <c r="AK92" s="44">
        <v>0.12302974608525941</v>
      </c>
      <c r="AL92" s="44">
        <v>8.4547358174389409E-2</v>
      </c>
      <c r="AM92" s="44">
        <v>5.028695128106575E-2</v>
      </c>
      <c r="AN92" s="44">
        <v>3.8543119731861308E-2</v>
      </c>
      <c r="AO92" s="44">
        <v>6.914899984923828E-2</v>
      </c>
      <c r="AP92" s="44">
        <v>3.7005505031289632E-2</v>
      </c>
      <c r="AQ92" s="44">
        <v>9.1768031721063403E-2</v>
      </c>
      <c r="AR92" s="44">
        <v>-3.6762137825557588E-2</v>
      </c>
      <c r="AS92" s="44">
        <v>9.7728037942634849E-4</v>
      </c>
      <c r="AT92" s="44">
        <v>-3.9007251245793073E-2</v>
      </c>
      <c r="AU92" s="44">
        <v>-2.577242135540514E-2</v>
      </c>
      <c r="AV92" s="44">
        <v>6.4292367819467344E-2</v>
      </c>
      <c r="AW92" s="44">
        <v>3.4462521123936662E-2</v>
      </c>
      <c r="AX92" s="44">
        <v>-5.463262743055608E-2</v>
      </c>
      <c r="AY92" s="44">
        <v>5.69504690779159E-2</v>
      </c>
      <c r="AZ92" s="44">
        <v>1.9348826001101879E-2</v>
      </c>
    </row>
    <row r="93" spans="1:52" ht="16" x14ac:dyDescent="0.2">
      <c r="A93" s="39">
        <v>42948</v>
      </c>
      <c r="B93" s="43">
        <v>0.10699945363619601</v>
      </c>
      <c r="C93" s="43">
        <v>3.5786708519772947E-2</v>
      </c>
      <c r="D93" s="43">
        <v>5.9184912579922637E-2</v>
      </c>
      <c r="E93" s="43">
        <v>2.9454630890688449E-3</v>
      </c>
      <c r="F93" s="43">
        <v>2.555114371335554E-2</v>
      </c>
      <c r="G93" s="43">
        <v>-7.2688485312847329E-3</v>
      </c>
      <c r="H93" s="43">
        <v>3.106637391416367E-2</v>
      </c>
      <c r="I93" s="43">
        <v>3.9557636632989723E-3</v>
      </c>
      <c r="J93" s="43">
        <v>-8.0051989002827284E-3</v>
      </c>
      <c r="K93" s="43">
        <v>2.416519230776815E-2</v>
      </c>
      <c r="L93" s="43">
        <v>-4.4755538102244641E-3</v>
      </c>
      <c r="M93" s="43">
        <v>-7.9414316641659877E-2</v>
      </c>
      <c r="N93" s="43">
        <v>1.237986268562619E-2</v>
      </c>
      <c r="O93" s="43">
        <v>-1.631968547920803E-3</v>
      </c>
      <c r="P93" s="43">
        <v>-0.1066845660259573</v>
      </c>
      <c r="Q93" s="43">
        <v>7.8568761077537186E-2</v>
      </c>
      <c r="R93" s="43">
        <v>-1.134577843960272E-2</v>
      </c>
      <c r="S93" s="43">
        <v>2.5569502072131819E-2</v>
      </c>
      <c r="T93" s="43">
        <v>-4.1389854725585318E-2</v>
      </c>
      <c r="U93" s="43">
        <v>1.0301282725933451E-2</v>
      </c>
      <c r="V93" s="43">
        <v>-3.6653191815069208E-3</v>
      </c>
      <c r="W93" s="43">
        <v>7.7289411880319134E-3</v>
      </c>
      <c r="X93" s="43">
        <v>3.0910125166952129E-2</v>
      </c>
      <c r="Y93" s="43">
        <v>3.707103067403628E-3</v>
      </c>
      <c r="Z93" s="43">
        <v>-9.912876767722012E-3</v>
      </c>
      <c r="AA93" s="43">
        <v>-6.3263406087973317E-3</v>
      </c>
      <c r="AB93" s="43">
        <v>-5.2425153312053552E-2</v>
      </c>
      <c r="AC93" s="43">
        <v>3.725016312123719E-2</v>
      </c>
      <c r="AD93" s="43">
        <v>-3.989467278939296E-2</v>
      </c>
      <c r="AE93" s="43">
        <v>-2.985074154065848E-2</v>
      </c>
      <c r="AF93" s="43">
        <v>3.3952709914666153E-2</v>
      </c>
      <c r="AG93" s="43">
        <v>0.136913384238432</v>
      </c>
      <c r="AH93" s="43">
        <v>3.7013248840708217E-2</v>
      </c>
      <c r="AI93" s="43">
        <v>-0.1096272684874952</v>
      </c>
      <c r="AJ93" s="43">
        <v>4.3561271237183341E-2</v>
      </c>
      <c r="AK93" s="43">
        <v>-0.1149626830672177</v>
      </c>
      <c r="AL93" s="43">
        <v>-2.9542611542277771E-2</v>
      </c>
      <c r="AM93" s="43">
        <v>1.5965952248325529E-2</v>
      </c>
      <c r="AN93" s="43">
        <v>-2.658847863472447E-2</v>
      </c>
      <c r="AO93" s="43">
        <v>-0.21393035368790589</v>
      </c>
      <c r="AP93" s="43">
        <v>4.1933577570344223E-2</v>
      </c>
      <c r="AQ93" s="43">
        <v>3.4610462593484881E-2</v>
      </c>
      <c r="AR93" s="43">
        <v>-6.4113098028845128E-3</v>
      </c>
      <c r="AS93" s="43">
        <v>1.074002721381717E-2</v>
      </c>
      <c r="AT93" s="43">
        <v>8.507549117149793E-3</v>
      </c>
      <c r="AU93" s="43">
        <v>3.2877518883234647E-2</v>
      </c>
      <c r="AV93" s="43">
        <v>1.7695094942854709E-2</v>
      </c>
      <c r="AW93" s="43">
        <v>3.696347815204204E-2</v>
      </c>
      <c r="AX93" s="43">
        <v>2.8680023034749261E-2</v>
      </c>
      <c r="AY93" s="43">
        <v>-1.7863782235393422E-2</v>
      </c>
      <c r="AZ93" s="43">
        <v>5.46433019853243E-4</v>
      </c>
    </row>
    <row r="94" spans="1:52" ht="16" x14ac:dyDescent="0.2">
      <c r="A94" s="41">
        <v>42979</v>
      </c>
      <c r="B94" s="44">
        <v>-6.0243950317581563E-2</v>
      </c>
      <c r="C94" s="44">
        <v>4.7506773083400462E-2</v>
      </c>
      <c r="D94" s="44">
        <v>-3.8540930943458451E-2</v>
      </c>
      <c r="E94" s="44">
        <v>3.6710720352659543E-2</v>
      </c>
      <c r="F94" s="44">
        <v>4.882701520720456E-2</v>
      </c>
      <c r="G94" s="44">
        <v>-1.9630792069039619E-2</v>
      </c>
      <c r="H94" s="44">
        <v>6.1451909603989163E-2</v>
      </c>
      <c r="I94" s="44">
        <v>-5.2450335903516547E-2</v>
      </c>
      <c r="J94" s="44">
        <v>4.8168793164122148E-2</v>
      </c>
      <c r="K94" s="44">
        <v>4.4085787961275942E-2</v>
      </c>
      <c r="L94" s="44">
        <v>9.1804572697436804E-2</v>
      </c>
      <c r="M94" s="44">
        <v>-2.598800596969264E-2</v>
      </c>
      <c r="N94" s="44">
        <v>-3.2452042628214661E-2</v>
      </c>
      <c r="O94" s="44">
        <v>6.4363222775559059E-2</v>
      </c>
      <c r="P94" s="44">
        <v>0.13825109808689851</v>
      </c>
      <c r="Q94" s="44">
        <v>-0.17134063844386441</v>
      </c>
      <c r="R94" s="44">
        <v>9.8844055312792278E-3</v>
      </c>
      <c r="S94" s="44">
        <v>2.1007908921818919E-2</v>
      </c>
      <c r="T94" s="44">
        <v>-5.2305822985263539E-3</v>
      </c>
      <c r="U94" s="44">
        <v>1.934601426824889E-2</v>
      </c>
      <c r="V94" s="44">
        <v>6.0114451654156957E-2</v>
      </c>
      <c r="W94" s="44">
        <v>9.1345960938837178E-2</v>
      </c>
      <c r="X94" s="44">
        <v>-0.15042577139556229</v>
      </c>
      <c r="Y94" s="44">
        <v>-1.7828525877159329E-2</v>
      </c>
      <c r="Z94" s="44">
        <v>5.0830997163556102E-2</v>
      </c>
      <c r="AA94" s="44">
        <v>-3.9926642360926801E-3</v>
      </c>
      <c r="AB94" s="44">
        <v>6.1568493372340827E-2</v>
      </c>
      <c r="AC94" s="44">
        <v>-2.0565931373243359E-2</v>
      </c>
      <c r="AD94" s="44">
        <v>-2.9616901361700591E-2</v>
      </c>
      <c r="AE94" s="44">
        <v>5.868105021496639E-2</v>
      </c>
      <c r="AF94" s="44">
        <v>-3.7454158517973291E-3</v>
      </c>
      <c r="AG94" s="44">
        <v>0.2302156961715536</v>
      </c>
      <c r="AH94" s="44">
        <v>-2.6310489288127511E-2</v>
      </c>
      <c r="AI94" s="44">
        <v>0.13191963094435841</v>
      </c>
      <c r="AJ94" s="44">
        <v>5.5063924460768909E-2</v>
      </c>
      <c r="AK94" s="44">
        <v>0.16496680029103339</v>
      </c>
      <c r="AL94" s="44">
        <v>2.3079981811855891E-2</v>
      </c>
      <c r="AM94" s="44">
        <v>-1.398053183785508E-2</v>
      </c>
      <c r="AN94" s="44">
        <v>8.7824108881723317E-2</v>
      </c>
      <c r="AO94" s="44">
        <v>0.1202531993207665</v>
      </c>
      <c r="AP94" s="44">
        <v>8.3743400714779703E-3</v>
      </c>
      <c r="AQ94" s="44">
        <v>0.1045400548735971</v>
      </c>
      <c r="AR94" s="44">
        <v>-8.2266837228732737E-3</v>
      </c>
      <c r="AS94" s="44">
        <v>-0.1001810702568343</v>
      </c>
      <c r="AT94" s="44">
        <v>5.5324457288273399E-2</v>
      </c>
      <c r="AU94" s="44">
        <v>1.9778764697358842E-2</v>
      </c>
      <c r="AV94" s="44">
        <v>8.234708942723401E-2</v>
      </c>
      <c r="AW94" s="44">
        <v>-1.1597412488492781E-2</v>
      </c>
      <c r="AX94" s="44">
        <v>0.1013297307242582</v>
      </c>
      <c r="AY94" s="44">
        <v>8.9652819078867019E-4</v>
      </c>
      <c r="AZ94" s="44">
        <v>1.9302978562167668E-2</v>
      </c>
    </row>
    <row r="95" spans="1:52" ht="16" x14ac:dyDescent="0.2">
      <c r="A95" s="39">
        <v>43009</v>
      </c>
      <c r="B95" s="43">
        <v>9.6807699605456099E-2</v>
      </c>
      <c r="C95" s="43">
        <v>2.1275640666091E-2</v>
      </c>
      <c r="D95" s="43">
        <v>0.17415211329840649</v>
      </c>
      <c r="E95" s="43">
        <v>1.983005037021468E-2</v>
      </c>
      <c r="F95" s="43">
        <v>-6.0230341895379347E-2</v>
      </c>
      <c r="G95" s="43">
        <v>0.1497165176249049</v>
      </c>
      <c r="H95" s="43">
        <v>9.5421425843856822E-2</v>
      </c>
      <c r="I95" s="43">
        <v>-5.9756272805931099E-2</v>
      </c>
      <c r="J95" s="43">
        <v>-1.9538572601595638E-2</v>
      </c>
      <c r="K95" s="43">
        <v>2.4237352617890728E-2</v>
      </c>
      <c r="L95" s="43">
        <v>-1.3702140373647141E-2</v>
      </c>
      <c r="M95" s="43">
        <v>-7.7102849945680507E-3</v>
      </c>
      <c r="N95" s="43">
        <v>1.5939521182433362E-2</v>
      </c>
      <c r="O95" s="43">
        <v>2.577951209682294E-2</v>
      </c>
      <c r="P95" s="43">
        <v>3.4152869816270533E-2</v>
      </c>
      <c r="Q95" s="43">
        <v>2.3111901934412149E-2</v>
      </c>
      <c r="R95" s="43">
        <v>5.8891763341948336E-3</v>
      </c>
      <c r="S95" s="43">
        <v>-8.7063498717343535E-3</v>
      </c>
      <c r="T95" s="43">
        <v>-0.1662530371270233</v>
      </c>
      <c r="U95" s="43">
        <v>6.0921062560540078E-2</v>
      </c>
      <c r="V95" s="43">
        <v>2.2302844871804339E-2</v>
      </c>
      <c r="W95" s="43">
        <v>1.357268796581756E-2</v>
      </c>
      <c r="X95" s="43">
        <v>-2.9895476508764451E-2</v>
      </c>
      <c r="Y95" s="43">
        <v>7.2302262776202886E-2</v>
      </c>
      <c r="Z95" s="43">
        <v>5.9555171761171977E-2</v>
      </c>
      <c r="AA95" s="43">
        <v>2.1551112119422951E-2</v>
      </c>
      <c r="AB95" s="43">
        <v>-3.6995350184857449E-3</v>
      </c>
      <c r="AC95" s="43">
        <v>6.5292411783817395E-2</v>
      </c>
      <c r="AD95" s="43">
        <v>3.5360991387991092E-2</v>
      </c>
      <c r="AE95" s="43">
        <v>4.3087782454859003E-2</v>
      </c>
      <c r="AF95" s="43">
        <v>0.1166605207903695</v>
      </c>
      <c r="AG95" s="43">
        <v>0.12662088224692319</v>
      </c>
      <c r="AH95" s="43">
        <v>5.8137144847912881E-2</v>
      </c>
      <c r="AI95" s="43">
        <v>1.9669091334244548E-2</v>
      </c>
      <c r="AJ95" s="43">
        <v>0.1568489534690658</v>
      </c>
      <c r="AK95" s="43">
        <v>-0.23030076280874981</v>
      </c>
      <c r="AL95" s="43">
        <v>-2.0573942076535959E-2</v>
      </c>
      <c r="AM95" s="43">
        <v>-4.3888991841855129E-2</v>
      </c>
      <c r="AN95" s="43">
        <v>4.3366624391308013E-2</v>
      </c>
      <c r="AO95" s="43">
        <v>9.6045128944305169E-2</v>
      </c>
      <c r="AP95" s="43">
        <v>1.7648509601203791E-2</v>
      </c>
      <c r="AQ95" s="43">
        <v>3.4072531051284161E-2</v>
      </c>
      <c r="AR95" s="43">
        <v>-1.6010589587771459E-2</v>
      </c>
      <c r="AS95" s="43">
        <v>-9.9526038595692978E-2</v>
      </c>
      <c r="AT95" s="43">
        <v>0.10364761074565031</v>
      </c>
      <c r="AU95" s="43">
        <v>-5.3303051155404013E-2</v>
      </c>
      <c r="AV95" s="43">
        <v>8.5551248735568075E-2</v>
      </c>
      <c r="AW95" s="43">
        <v>7.3372384635818744E-2</v>
      </c>
      <c r="AX95" s="43">
        <v>-1.552229453822163E-3</v>
      </c>
      <c r="AY95" s="43">
        <v>0.1173532138623361</v>
      </c>
      <c r="AZ95" s="43">
        <v>2.2188135066151249E-2</v>
      </c>
    </row>
    <row r="96" spans="1:52" ht="16" x14ac:dyDescent="0.2">
      <c r="A96" s="41">
        <v>43040</v>
      </c>
      <c r="B96" s="44">
        <v>2.027828864854531E-2</v>
      </c>
      <c r="C96" s="44">
        <v>3.9461550000218448E-2</v>
      </c>
      <c r="D96" s="44">
        <v>3.6024191748511132E-2</v>
      </c>
      <c r="E96" s="44">
        <v>-7.5000021192762611E-2</v>
      </c>
      <c r="F96" s="44">
        <v>9.3637978204144101E-3</v>
      </c>
      <c r="G96" s="44">
        <v>6.4662376788881426E-2</v>
      </c>
      <c r="H96" s="44">
        <v>3.9396113506187769E-2</v>
      </c>
      <c r="I96" s="44">
        <v>4.1909149774087551E-2</v>
      </c>
      <c r="J96" s="44">
        <v>0.1483565664914239</v>
      </c>
      <c r="K96" s="44">
        <v>9.2239868972322725E-2</v>
      </c>
      <c r="L96" s="44">
        <v>3.6361043817114691E-2</v>
      </c>
      <c r="M96" s="44">
        <v>7.1669708071044669E-2</v>
      </c>
      <c r="N96" s="44">
        <v>4.0256978785835118E-2</v>
      </c>
      <c r="O96" s="44">
        <v>1.383641078725972E-2</v>
      </c>
      <c r="P96" s="44">
        <v>2.4532220922610651E-2</v>
      </c>
      <c r="Q96" s="44">
        <v>9.2375914627109035E-2</v>
      </c>
      <c r="R96" s="44">
        <v>0.1066215936595811</v>
      </c>
      <c r="S96" s="44">
        <v>2.0593339227391368E-2</v>
      </c>
      <c r="T96" s="44">
        <v>-9.2757962326281751E-2</v>
      </c>
      <c r="U96" s="44">
        <v>3.029681047710842E-3</v>
      </c>
      <c r="V96" s="44">
        <v>2.4489529517062621E-2</v>
      </c>
      <c r="W96" s="44">
        <v>9.018641933657956E-2</v>
      </c>
      <c r="X96" s="44">
        <v>-0.12591613365324919</v>
      </c>
      <c r="Y96" s="44">
        <v>5.5464557994941988E-3</v>
      </c>
      <c r="Z96" s="44">
        <v>3.8862591724582403E-2</v>
      </c>
      <c r="AA96" s="44">
        <v>3.593911199886612E-3</v>
      </c>
      <c r="AB96" s="44">
        <v>2.8284895044982768E-2</v>
      </c>
      <c r="AC96" s="44">
        <v>3.6458200176428868E-2</v>
      </c>
      <c r="AD96" s="44">
        <v>1.999474154917702E-2</v>
      </c>
      <c r="AE96" s="44">
        <v>3.2199868854372093E-2</v>
      </c>
      <c r="AF96" s="44">
        <v>1.6983543671292178E-2</v>
      </c>
      <c r="AG96" s="44">
        <v>-4.3330761557343278E-2</v>
      </c>
      <c r="AH96" s="44">
        <v>2.5606796513525151E-2</v>
      </c>
      <c r="AI96" s="44">
        <v>0.27217442079895399</v>
      </c>
      <c r="AJ96" s="44">
        <v>-2.88212658240149E-2</v>
      </c>
      <c r="AK96" s="44">
        <v>-3.3629991143374387E-2</v>
      </c>
      <c r="AL96" s="44">
        <v>-3.0127075462702879E-2</v>
      </c>
      <c r="AM96" s="44">
        <v>4.2274183982622171E-2</v>
      </c>
      <c r="AN96" s="44">
        <v>3.0401814525138789E-2</v>
      </c>
      <c r="AO96" s="44">
        <v>-5.1546589400037757E-3</v>
      </c>
      <c r="AP96" s="44">
        <v>2.5549644556050799E-2</v>
      </c>
      <c r="AQ96" s="44">
        <v>-0.15062769546146981</v>
      </c>
      <c r="AR96" s="44">
        <v>0.31150014995275083</v>
      </c>
      <c r="AS96" s="44">
        <v>-0.10123686706251819</v>
      </c>
      <c r="AT96" s="44">
        <v>1.3037312557796049E-2</v>
      </c>
      <c r="AU96" s="44">
        <v>8.7361590722665916E-2</v>
      </c>
      <c r="AV96" s="44">
        <v>6.205383025934319E-3</v>
      </c>
      <c r="AW96" s="44">
        <v>8.9051258513736853E-2</v>
      </c>
      <c r="AX96" s="44">
        <v>9.8644809160439939E-2</v>
      </c>
      <c r="AY96" s="44">
        <v>0.1136183430084341</v>
      </c>
      <c r="AZ96" s="44">
        <v>2.8082627806563339E-2</v>
      </c>
    </row>
    <row r="97" spans="1:52" ht="16" x14ac:dyDescent="0.2">
      <c r="A97" s="39">
        <v>43070</v>
      </c>
      <c r="B97" s="43">
        <v>-1.5246383693242939E-2</v>
      </c>
      <c r="C97" s="43">
        <v>1.241812254139529E-2</v>
      </c>
      <c r="D97" s="43">
        <v>-3.4330719599005022E-2</v>
      </c>
      <c r="E97" s="43">
        <v>4.5045046077076378E-2</v>
      </c>
      <c r="F97" s="43">
        <v>-1.0019066864765719E-2</v>
      </c>
      <c r="G97" s="43">
        <v>-6.1865684018398426E-3</v>
      </c>
      <c r="H97" s="43">
        <v>0.11640099267862269</v>
      </c>
      <c r="I97" s="43">
        <v>6.6862009336927652E-2</v>
      </c>
      <c r="J97" s="43">
        <v>9.1630492992715862E-3</v>
      </c>
      <c r="K97" s="43">
        <v>2.680986469969571E-2</v>
      </c>
      <c r="L97" s="43">
        <v>5.2105163943391819E-2</v>
      </c>
      <c r="M97" s="43">
        <v>3.3913742586078932E-2</v>
      </c>
      <c r="N97" s="43">
        <v>-9.7985331727634684E-3</v>
      </c>
      <c r="O97" s="43">
        <v>7.5131058133995232E-2</v>
      </c>
      <c r="P97" s="43">
        <v>5.4632067344193569E-2</v>
      </c>
      <c r="Q97" s="43">
        <v>0.122599693655016</v>
      </c>
      <c r="R97" s="43">
        <v>-2.2205631857714399E-2</v>
      </c>
      <c r="S97" s="43">
        <v>-1.7909044227523149E-2</v>
      </c>
      <c r="T97" s="43">
        <v>-3.9339551153823697E-2</v>
      </c>
      <c r="U97" s="43">
        <v>1.6628597852313739E-2</v>
      </c>
      <c r="V97" s="43">
        <v>2.8751318269815359E-2</v>
      </c>
      <c r="W97" s="43">
        <v>5.3997900632684732E-2</v>
      </c>
      <c r="X97" s="43">
        <v>-4.3236679176284383E-2</v>
      </c>
      <c r="Y97" s="43">
        <v>2.7989759396176428E-3</v>
      </c>
      <c r="Z97" s="43">
        <v>2.3153508695143321E-2</v>
      </c>
      <c r="AA97" s="43">
        <v>2.4028575506327421E-3</v>
      </c>
      <c r="AB97" s="43">
        <v>-6.0002288815218068E-2</v>
      </c>
      <c r="AC97" s="43">
        <v>8.7185195194194876E-4</v>
      </c>
      <c r="AD97" s="43">
        <v>-1.1239247567041869E-2</v>
      </c>
      <c r="AE97" s="43">
        <v>1.6663464682174611E-2</v>
      </c>
      <c r="AF97" s="43">
        <v>1.6276721523101449E-2</v>
      </c>
      <c r="AG97" s="43">
        <v>-2.9960121830888919E-2</v>
      </c>
      <c r="AH97" s="43">
        <v>-1.170602830696665E-2</v>
      </c>
      <c r="AI97" s="43">
        <v>-2.1057986220615721E-2</v>
      </c>
      <c r="AJ97" s="43">
        <v>-3.5922182603201569E-2</v>
      </c>
      <c r="AK97" s="43">
        <v>8.188323434773559E-2</v>
      </c>
      <c r="AL97" s="43">
        <v>2.986543370902672E-2</v>
      </c>
      <c r="AM97" s="43">
        <v>2.1002734992782161E-2</v>
      </c>
      <c r="AN97" s="43">
        <v>6.4483494899634008E-2</v>
      </c>
      <c r="AO97" s="43">
        <v>-0.11606216889464099</v>
      </c>
      <c r="AP97" s="43">
        <v>-1.9423875620865561E-2</v>
      </c>
      <c r="AQ97" s="43">
        <v>-7.3891552731093713E-2</v>
      </c>
      <c r="AR97" s="43">
        <v>-3.4971533009326317E-2</v>
      </c>
      <c r="AS97" s="43">
        <v>3.8965475732592132E-2</v>
      </c>
      <c r="AT97" s="43">
        <v>2.6588689502564659E-2</v>
      </c>
      <c r="AU97" s="43">
        <v>1.2044939389382231E-2</v>
      </c>
      <c r="AV97" s="43">
        <v>7.3491430217729636E-2</v>
      </c>
      <c r="AW97" s="43">
        <v>-3.3790446157605403E-2</v>
      </c>
      <c r="AX97" s="43">
        <v>6.0079377989159077E-2</v>
      </c>
      <c r="AY97" s="43">
        <v>2.098569226244806E-2</v>
      </c>
      <c r="AZ97" s="43">
        <v>9.8316305942705018E-3</v>
      </c>
    </row>
    <row r="98" spans="1:52" ht="16" x14ac:dyDescent="0.2">
      <c r="A98" s="41">
        <v>43101</v>
      </c>
      <c r="B98" s="44">
        <v>-1.063616326394312E-2</v>
      </c>
      <c r="C98" s="44">
        <v>9.4397404065903023E-2</v>
      </c>
      <c r="D98" s="44">
        <v>0.13992232506879471</v>
      </c>
      <c r="E98" s="44">
        <v>3.0172392531041758E-2</v>
      </c>
      <c r="F98" s="44">
        <v>6.9867636219402396E-2</v>
      </c>
      <c r="G98" s="44">
        <v>0.24063897541810569</v>
      </c>
      <c r="H98" s="44">
        <v>3.7793698060483827E-2</v>
      </c>
      <c r="I98" s="44">
        <v>6.6128422279535748E-2</v>
      </c>
      <c r="J98" s="44">
        <v>4.7013044162367963E-2</v>
      </c>
      <c r="K98" s="44">
        <v>9.2685203236714475E-2</v>
      </c>
      <c r="L98" s="44">
        <v>1.278092033774936E-3</v>
      </c>
      <c r="M98" s="44">
        <v>1.0789724958837571E-2</v>
      </c>
      <c r="N98" s="44">
        <v>2.608429043401506E-2</v>
      </c>
      <c r="O98" s="44">
        <v>3.644730590690215E-2</v>
      </c>
      <c r="P98" s="44">
        <v>6.7252791418647373E-2</v>
      </c>
      <c r="Q98" s="44">
        <v>-2.9605313722778082E-3</v>
      </c>
      <c r="R98" s="44">
        <v>0.1015088549117322</v>
      </c>
      <c r="S98" s="44">
        <v>9.7959565644320179E-2</v>
      </c>
      <c r="T98" s="44">
        <v>-7.3351845820425421E-2</v>
      </c>
      <c r="U98" s="44">
        <v>0.12228973388712031</v>
      </c>
      <c r="V98" s="44">
        <v>5.1538803864081377E-2</v>
      </c>
      <c r="W98" s="44">
        <v>5.9990671303508991E-2</v>
      </c>
      <c r="X98" s="44">
        <v>-4.666875949394822E-2</v>
      </c>
      <c r="Y98" s="44">
        <v>-1.0950498922043689E-2</v>
      </c>
      <c r="Z98" s="44">
        <v>8.7269087596900663E-2</v>
      </c>
      <c r="AA98" s="44">
        <v>3.7271393012881397E-2</v>
      </c>
      <c r="AB98" s="44">
        <v>1.145175490861217E-2</v>
      </c>
      <c r="AC98" s="44">
        <v>-5.6938347633077591E-3</v>
      </c>
      <c r="AD98" s="44">
        <v>6.3652706998412745E-2</v>
      </c>
      <c r="AE98" s="44">
        <v>8.246913761132868E-2</v>
      </c>
      <c r="AF98" s="44">
        <v>0.1107085811776236</v>
      </c>
      <c r="AG98" s="44">
        <v>6.322942539478249E-2</v>
      </c>
      <c r="AH98" s="44">
        <v>1.427746358897242E-2</v>
      </c>
      <c r="AI98" s="44">
        <v>0.1156232051287016</v>
      </c>
      <c r="AJ98" s="44">
        <v>0.2702843173573144</v>
      </c>
      <c r="AK98" s="44">
        <v>-2.1759654576806731E-2</v>
      </c>
      <c r="AL98" s="44">
        <v>0.115393514814353</v>
      </c>
      <c r="AM98" s="44">
        <v>-5.3132208102188772E-2</v>
      </c>
      <c r="AN98" s="44">
        <v>9.2195026604409147E-3</v>
      </c>
      <c r="AO98" s="44">
        <v>-1.524034214660352E-2</v>
      </c>
      <c r="AP98" s="44">
        <v>9.300960252671242E-3</v>
      </c>
      <c r="AQ98" s="44">
        <v>2.659575071163145E-2</v>
      </c>
      <c r="AR98" s="44">
        <v>6.6073083090125939E-2</v>
      </c>
      <c r="AS98" s="44">
        <v>-2.4763179567445559E-2</v>
      </c>
      <c r="AT98" s="44">
        <v>1.7242430369661669E-2</v>
      </c>
      <c r="AU98" s="44">
        <v>5.0483847454530828E-2</v>
      </c>
      <c r="AV98" s="44">
        <v>5.5887835193844097E-2</v>
      </c>
      <c r="AW98" s="44">
        <v>7.4026960889640225E-2</v>
      </c>
      <c r="AX98" s="44">
        <v>-4.4744789273041263E-3</v>
      </c>
      <c r="AY98" s="44">
        <v>7.949369306817422E-2</v>
      </c>
      <c r="AZ98" s="44">
        <v>5.6178704125528167E-2</v>
      </c>
    </row>
    <row r="99" spans="1:52" ht="16" x14ac:dyDescent="0.2">
      <c r="A99" s="39">
        <v>43132</v>
      </c>
      <c r="B99" s="43">
        <v>6.8184846723593928E-2</v>
      </c>
      <c r="C99" s="43">
        <v>-2.9440260080321409E-2</v>
      </c>
      <c r="D99" s="43">
        <v>4.6906340777136402E-2</v>
      </c>
      <c r="E99" s="43">
        <v>-4.1841005964973747E-2</v>
      </c>
      <c r="F99" s="43">
        <v>-4.7882362425767377E-3</v>
      </c>
      <c r="G99" s="43">
        <v>4.2429063602001271E-2</v>
      </c>
      <c r="H99" s="43">
        <v>-5.0067387569425303E-2</v>
      </c>
      <c r="I99" s="43">
        <v>-0.14860080725081609</v>
      </c>
      <c r="J99" s="43">
        <v>-1.775115310120479E-2</v>
      </c>
      <c r="K99" s="43">
        <v>7.7996992119465869E-2</v>
      </c>
      <c r="L99" s="43">
        <v>-9.8251854292088825E-2</v>
      </c>
      <c r="M99" s="43">
        <v>-5.0703942620731753E-2</v>
      </c>
      <c r="N99" s="43">
        <v>-5.2512915545790413E-2</v>
      </c>
      <c r="O99" s="43">
        <v>-9.4613753607167839E-3</v>
      </c>
      <c r="P99" s="43">
        <v>-0.1180870143484445</v>
      </c>
      <c r="Q99" s="43">
        <v>-0.14879578714441971</v>
      </c>
      <c r="R99" s="43">
        <v>2.7535707563298709E-2</v>
      </c>
      <c r="S99" s="43">
        <v>-1.3494601288066571E-4</v>
      </c>
      <c r="T99" s="43">
        <v>-0.12017519858176171</v>
      </c>
      <c r="U99" s="43">
        <v>-6.6231204964425028E-2</v>
      </c>
      <c r="V99" s="43">
        <v>-1.576005942752734E-2</v>
      </c>
      <c r="W99" s="43">
        <v>-9.273239150960022E-2</v>
      </c>
      <c r="X99" s="43">
        <v>-5.6816892251639772E-2</v>
      </c>
      <c r="Y99" s="43">
        <v>-5.4116216340574952E-2</v>
      </c>
      <c r="Z99" s="43">
        <v>-1.469653717346753E-3</v>
      </c>
      <c r="AA99" s="43">
        <v>-9.1826065531636525E-2</v>
      </c>
      <c r="AB99" s="43">
        <v>-5.3738877128459714E-3</v>
      </c>
      <c r="AC99" s="43">
        <v>-7.2467385788430483E-2</v>
      </c>
      <c r="AD99" s="43">
        <v>-6.9856850359768297E-2</v>
      </c>
      <c r="AE99" s="43">
        <v>-9.3720334149888229E-3</v>
      </c>
      <c r="AF99" s="43">
        <v>-8.4152281045563049E-3</v>
      </c>
      <c r="AG99" s="43">
        <v>0.1164227790969259</v>
      </c>
      <c r="AH99" s="43">
        <v>-3.2707184668966161E-2</v>
      </c>
      <c r="AI99" s="43">
        <v>-1.544712738253573E-2</v>
      </c>
      <c r="AJ99" s="43">
        <v>-1.4847946718187011E-2</v>
      </c>
      <c r="AK99" s="43">
        <v>-0.1112186223630537</v>
      </c>
      <c r="AL99" s="43">
        <v>-4.2983549124511633E-2</v>
      </c>
      <c r="AM99" s="43">
        <v>-9.0572337670050795E-2</v>
      </c>
      <c r="AN99" s="43">
        <v>-0.11073927352626391</v>
      </c>
      <c r="AO99" s="43">
        <v>-7.142850655276467E-2</v>
      </c>
      <c r="AP99" s="43">
        <v>-6.8038573660167079E-2</v>
      </c>
      <c r="AQ99" s="43">
        <v>-8.4196508184259944E-3</v>
      </c>
      <c r="AR99" s="43">
        <v>-3.944492689276935E-2</v>
      </c>
      <c r="AS99" s="43">
        <v>-0.12603318144941489</v>
      </c>
      <c r="AT99" s="43">
        <v>-3.5152715871817897E-2</v>
      </c>
      <c r="AU99" s="43">
        <v>3.3665057143894339E-2</v>
      </c>
      <c r="AV99" s="43">
        <v>-1.2035798106875609E-2</v>
      </c>
      <c r="AW99" s="43">
        <v>-4.4851811095446448E-2</v>
      </c>
      <c r="AX99" s="43">
        <v>-1.9185767295789798E-2</v>
      </c>
      <c r="AY99" s="43">
        <v>-0.15562849399624981</v>
      </c>
      <c r="AZ99" s="43">
        <v>-3.8947371879367698E-2</v>
      </c>
    </row>
    <row r="100" spans="1:52" ht="16" x14ac:dyDescent="0.2">
      <c r="A100" s="41">
        <v>43160</v>
      </c>
      <c r="B100" s="44">
        <v>-5.8050480378026632E-2</v>
      </c>
      <c r="C100" s="44">
        <v>-6.7959524838842036E-3</v>
      </c>
      <c r="D100" s="44">
        <v>3.3232901955588152E-2</v>
      </c>
      <c r="E100" s="44">
        <v>0.41630287298356872</v>
      </c>
      <c r="F100" s="44">
        <v>-7.2318566793627581E-2</v>
      </c>
      <c r="G100" s="44">
        <v>-4.3049368885689221E-2</v>
      </c>
      <c r="H100" s="44">
        <v>-4.6886214844313663E-2</v>
      </c>
      <c r="I100" s="44">
        <v>-5.6338222573282033E-2</v>
      </c>
      <c r="J100" s="44">
        <v>-1.2938563605943251E-2</v>
      </c>
      <c r="K100" s="44">
        <v>-4.2206336812573693E-2</v>
      </c>
      <c r="L100" s="44">
        <v>1.8941973736122279E-2</v>
      </c>
      <c r="M100" s="44">
        <v>-2.6366764072679901E-2</v>
      </c>
      <c r="N100" s="44">
        <v>5.3876683714402018E-2</v>
      </c>
      <c r="O100" s="44">
        <v>-3.8840292199698527E-2</v>
      </c>
      <c r="P100" s="44">
        <v>3.7960879042943763E-2</v>
      </c>
      <c r="Q100" s="44">
        <v>-0.1414728576149418</v>
      </c>
      <c r="R100" s="44">
        <v>-2.6326444584100939E-2</v>
      </c>
      <c r="S100" s="44">
        <v>-6.9677564156357397E-3</v>
      </c>
      <c r="T100" s="44">
        <v>-4.4649052867838379E-2</v>
      </c>
      <c r="U100" s="44">
        <v>-6.0493700024991437E-2</v>
      </c>
      <c r="V100" s="44">
        <v>-4.2102403035995113E-2</v>
      </c>
      <c r="W100" s="44">
        <v>-1.653355726972805E-2</v>
      </c>
      <c r="X100" s="44">
        <v>-2.1488982531231549E-2</v>
      </c>
      <c r="Y100" s="44">
        <v>-1.332003796402881E-2</v>
      </c>
      <c r="Z100" s="44">
        <v>-4.7878880835266591E-2</v>
      </c>
      <c r="AA100" s="44">
        <v>1.372914751807253E-2</v>
      </c>
      <c r="AB100" s="44">
        <v>3.3921557331495933E-2</v>
      </c>
      <c r="AC100" s="44">
        <v>-8.6217762711993107E-3</v>
      </c>
      <c r="AD100" s="44">
        <v>9.9350960482993411E-3</v>
      </c>
      <c r="AE100" s="44">
        <v>-3.6772748420983332E-2</v>
      </c>
      <c r="AF100" s="44">
        <v>-2.6660768831073049E-2</v>
      </c>
      <c r="AG100" s="44">
        <v>6.8223825975253005E-2</v>
      </c>
      <c r="AH100" s="44">
        <v>7.3480125374135286E-2</v>
      </c>
      <c r="AI100" s="44">
        <v>1.8827569836844301E-2</v>
      </c>
      <c r="AJ100" s="44">
        <v>-4.3016575913572441E-2</v>
      </c>
      <c r="AK100" s="44">
        <v>8.7052101233104917E-3</v>
      </c>
      <c r="AL100" s="44">
        <v>1.047396052727856E-2</v>
      </c>
      <c r="AM100" s="44">
        <v>9.6789647471757778E-3</v>
      </c>
      <c r="AN100" s="44">
        <v>-4.1687744255618941E-2</v>
      </c>
      <c r="AO100" s="44">
        <v>5.7692281828359837E-2</v>
      </c>
      <c r="AP100" s="44">
        <v>4.5991650994583237E-2</v>
      </c>
      <c r="AQ100" s="44">
        <v>1.5022823111745741E-2</v>
      </c>
      <c r="AR100" s="44">
        <v>-0.14753821604209649</v>
      </c>
      <c r="AS100" s="44">
        <v>7.4647452955273197E-2</v>
      </c>
      <c r="AT100" s="44">
        <v>-2.3556932559124499E-2</v>
      </c>
      <c r="AU100" s="44">
        <v>-1.3546411215201171E-2</v>
      </c>
      <c r="AV100" s="44">
        <v>-4.1163432251862253E-2</v>
      </c>
      <c r="AW100" s="44">
        <v>-5.063427097133999E-2</v>
      </c>
      <c r="AX100" s="44">
        <v>3.2092021184114028E-2</v>
      </c>
      <c r="AY100" s="44">
        <v>-5.661248959198284E-3</v>
      </c>
      <c r="AZ100" s="44">
        <v>-2.6884498600556639E-2</v>
      </c>
    </row>
    <row r="101" spans="1:52" ht="16" x14ac:dyDescent="0.2">
      <c r="A101" s="39">
        <v>43191</v>
      </c>
      <c r="B101" s="43">
        <v>-1.5019870528888649E-2</v>
      </c>
      <c r="C101" s="43">
        <v>-2.5203483865725129E-2</v>
      </c>
      <c r="D101" s="43">
        <v>2.5546113595356301E-2</v>
      </c>
      <c r="E101" s="43">
        <v>7.9136656800989469E-2</v>
      </c>
      <c r="F101" s="43">
        <v>2.3463221287575831E-2</v>
      </c>
      <c r="G101" s="43">
        <v>8.2074796471630185E-2</v>
      </c>
      <c r="H101" s="43">
        <v>-1.555957784784201E-2</v>
      </c>
      <c r="I101" s="43">
        <v>-7.6121215630534977E-2</v>
      </c>
      <c r="J101" s="43">
        <v>4.6329952075585323E-2</v>
      </c>
      <c r="K101" s="43">
        <v>4.0943114913476457E-2</v>
      </c>
      <c r="L101" s="43">
        <v>9.7071412915766153E-2</v>
      </c>
      <c r="M101" s="43">
        <v>-1.095202986750254E-3</v>
      </c>
      <c r="N101" s="43">
        <v>5.6175509771319472E-2</v>
      </c>
      <c r="O101" s="43">
        <v>-2.7672224358808891E-2</v>
      </c>
      <c r="P101" s="43">
        <v>0.1244333965215689</v>
      </c>
      <c r="Q101" s="43">
        <v>-6.0045144316544397E-2</v>
      </c>
      <c r="R101" s="43">
        <v>0.12779196217094979</v>
      </c>
      <c r="S101" s="43">
        <v>-8.4748002539684286E-2</v>
      </c>
      <c r="T101" s="43">
        <v>4.3768513345691977E-2</v>
      </c>
      <c r="U101" s="43">
        <v>-1.7895176863153891E-2</v>
      </c>
      <c r="V101" s="43">
        <v>-5.3720487776797721E-2</v>
      </c>
      <c r="W101" s="43">
        <v>3.6804472450779002E-2</v>
      </c>
      <c r="X101" s="43">
        <v>-0.25669030042399771</v>
      </c>
      <c r="Y101" s="43">
        <v>-1.2953627414751029E-2</v>
      </c>
      <c r="Z101" s="43">
        <v>-5.8050279051690126E-3</v>
      </c>
      <c r="AA101" s="43">
        <v>-5.0655011353650803E-3</v>
      </c>
      <c r="AB101" s="43">
        <v>-3.9151533195224242E-2</v>
      </c>
      <c r="AC101" s="43">
        <v>7.0725213262324615E-2</v>
      </c>
      <c r="AD101" s="43">
        <v>-1.121931437338519E-3</v>
      </c>
      <c r="AE101" s="43">
        <v>-3.8761564222198563E-2</v>
      </c>
      <c r="AF101" s="43">
        <v>2.465184035563928E-2</v>
      </c>
      <c r="AG101" s="43">
        <v>-0.1181435013867799</v>
      </c>
      <c r="AH101" s="43">
        <v>3.5510415825847912E-3</v>
      </c>
      <c r="AI101" s="43">
        <v>8.2753717173559505E-2</v>
      </c>
      <c r="AJ101" s="43">
        <v>-2.888722818772815E-2</v>
      </c>
      <c r="AK101" s="43">
        <v>0.1456309990432394</v>
      </c>
      <c r="AL101" s="43">
        <v>7.2151571503244138E-2</v>
      </c>
      <c r="AM101" s="43">
        <v>-7.9093937883172538E-2</v>
      </c>
      <c r="AN101" s="43">
        <v>-3.7478711303713157E-2</v>
      </c>
      <c r="AO101" s="43">
        <v>-7.272726116758399E-2</v>
      </c>
      <c r="AP101" s="43">
        <v>3.0480656685083041E-2</v>
      </c>
      <c r="AQ101" s="43">
        <v>2.7670593596255341E-2</v>
      </c>
      <c r="AR101" s="43">
        <v>-7.9407932453376073E-2</v>
      </c>
      <c r="AS101" s="43">
        <v>-0.1181322180972403</v>
      </c>
      <c r="AT101" s="43">
        <v>-6.2378904865420193E-2</v>
      </c>
      <c r="AU101" s="43">
        <v>4.0338598872681208E-2</v>
      </c>
      <c r="AV101" s="43">
        <v>-2.3678366859710361E-2</v>
      </c>
      <c r="AW101" s="43">
        <v>0.10467303460440761</v>
      </c>
      <c r="AX101" s="43">
        <v>-5.9508249836511817E-3</v>
      </c>
      <c r="AY101" s="43">
        <v>-5.7323118310943499E-3</v>
      </c>
      <c r="AZ101" s="43">
        <v>2.7187749953683231E-3</v>
      </c>
    </row>
    <row r="102" spans="1:52" ht="16" x14ac:dyDescent="0.2">
      <c r="A102" s="41">
        <v>43221</v>
      </c>
      <c r="B102" s="44">
        <v>0.13512428106874139</v>
      </c>
      <c r="C102" s="44">
        <v>5.8489737913902877E-2</v>
      </c>
      <c r="D102" s="44">
        <v>0.1249097108005093</v>
      </c>
      <c r="E102" s="44">
        <v>9.0476190476190377E-2</v>
      </c>
      <c r="F102" s="44">
        <v>3.7404748109879149E-2</v>
      </c>
      <c r="G102" s="44">
        <v>4.0539410880386262E-2</v>
      </c>
      <c r="H102" s="44">
        <v>5.2299880589383507E-2</v>
      </c>
      <c r="I102" s="44">
        <v>-6.6898715397117892E-3</v>
      </c>
      <c r="J102" s="44">
        <v>8.410012442869208E-3</v>
      </c>
      <c r="K102" s="44">
        <v>-3.5674438901530332E-2</v>
      </c>
      <c r="L102" s="44">
        <v>2.1893155719474588E-3</v>
      </c>
      <c r="M102" s="44">
        <v>-8.5718693680270075E-3</v>
      </c>
      <c r="N102" s="44">
        <v>-1.492004272304037E-2</v>
      </c>
      <c r="O102" s="44">
        <v>7.3948048775238195E-2</v>
      </c>
      <c r="P102" s="44">
        <v>-3.0464947994669478E-3</v>
      </c>
      <c r="Q102" s="44">
        <v>-4.3227739628768358E-3</v>
      </c>
      <c r="R102" s="44">
        <v>6.1438497133211367E-2</v>
      </c>
      <c r="S102" s="44">
        <v>1.987069527250362E-3</v>
      </c>
      <c r="T102" s="44">
        <v>7.1040661178023434E-4</v>
      </c>
      <c r="U102" s="44">
        <v>7.9934810795009303E-2</v>
      </c>
      <c r="V102" s="44">
        <v>-4.8886782291939879E-2</v>
      </c>
      <c r="W102" s="44">
        <v>1.512139989470063E-2</v>
      </c>
      <c r="X102" s="44">
        <v>0.10219564347274419</v>
      </c>
      <c r="Y102" s="44">
        <v>-4.7298977044276318E-2</v>
      </c>
      <c r="Z102" s="44">
        <v>-1.6270991927248572E-2</v>
      </c>
      <c r="AA102" s="44">
        <v>-4.8599670229527714E-3</v>
      </c>
      <c r="AB102" s="44">
        <v>0.1237607698348835</v>
      </c>
      <c r="AC102" s="44">
        <v>-4.4374343335867213E-2</v>
      </c>
      <c r="AD102" s="44">
        <v>7.7249299655265169E-2</v>
      </c>
      <c r="AE102" s="44">
        <v>-2.867124776738272E-2</v>
      </c>
      <c r="AF102" s="44">
        <v>6.1467168623933421E-2</v>
      </c>
      <c r="AG102" s="44">
        <v>0.25250134000357338</v>
      </c>
      <c r="AH102" s="44">
        <v>1.159168746728079E-2</v>
      </c>
      <c r="AI102" s="44">
        <v>2.6133643712635379E-2</v>
      </c>
      <c r="AJ102" s="44">
        <v>0.1220362992444157</v>
      </c>
      <c r="AK102" s="44">
        <v>0.12193974484452361</v>
      </c>
      <c r="AL102" s="44">
        <v>0.1318498187179904</v>
      </c>
      <c r="AM102" s="44">
        <v>1.147351616120562E-2</v>
      </c>
      <c r="AN102" s="44">
        <v>4.2779741341314459E-2</v>
      </c>
      <c r="AO102" s="44">
        <v>0.13725486285072711</v>
      </c>
      <c r="AP102" s="44">
        <v>-8.6274004730764187E-3</v>
      </c>
      <c r="AQ102" s="44">
        <v>0.13901041416915641</v>
      </c>
      <c r="AR102" s="44">
        <v>0.15128874484761229</v>
      </c>
      <c r="AS102" s="44">
        <v>-1.106415638368952E-2</v>
      </c>
      <c r="AT102" s="44">
        <v>3.3856725605587952E-2</v>
      </c>
      <c r="AU102" s="44">
        <v>6.9339251579184191E-2</v>
      </c>
      <c r="AV102" s="44">
        <v>0.10996496513457819</v>
      </c>
      <c r="AW102" s="44">
        <v>2.1615896195202881E-2</v>
      </c>
      <c r="AX102" s="44">
        <v>7.3764445773911058E-2</v>
      </c>
      <c r="AY102" s="44">
        <v>-6.104451083796314E-2</v>
      </c>
      <c r="AZ102" s="44">
        <v>2.1608341854583601E-2</v>
      </c>
    </row>
    <row r="103" spans="1:52" ht="16" x14ac:dyDescent="0.2">
      <c r="A103" s="39">
        <v>43252</v>
      </c>
      <c r="B103" s="43">
        <v>-9.4183847800484166E-3</v>
      </c>
      <c r="C103" s="43">
        <v>-8.7762396514095009E-3</v>
      </c>
      <c r="D103" s="43">
        <v>-2.1943201410017928E-2</v>
      </c>
      <c r="E103" s="43">
        <v>0</v>
      </c>
      <c r="F103" s="43">
        <v>2.7669617309654448E-2</v>
      </c>
      <c r="G103" s="43">
        <v>4.3065192317739857E-2</v>
      </c>
      <c r="H103" s="43">
        <v>-0.106905772193936</v>
      </c>
      <c r="I103" s="43">
        <v>5.2277104763382098E-2</v>
      </c>
      <c r="J103" s="43">
        <v>5.4176617101765689E-2</v>
      </c>
      <c r="K103" s="43">
        <v>7.4928103472973184E-3</v>
      </c>
      <c r="L103" s="43">
        <v>1.7135821371789369E-2</v>
      </c>
      <c r="M103" s="43">
        <v>5.3684592333361543E-2</v>
      </c>
      <c r="N103" s="43">
        <v>-1.322758429621196E-2</v>
      </c>
      <c r="O103" s="43">
        <v>-2.399747997016155E-2</v>
      </c>
      <c r="P103" s="43">
        <v>5.6192310347317642E-2</v>
      </c>
      <c r="Q103" s="43">
        <v>3.8109065748783921E-2</v>
      </c>
      <c r="R103" s="43">
        <v>-3.8126258435811078E-3</v>
      </c>
      <c r="S103" s="43">
        <v>-7.5851262961818211E-2</v>
      </c>
      <c r="T103" s="43">
        <v>-2.4800745436199589E-2</v>
      </c>
      <c r="U103" s="43">
        <v>2.6536235985698872E-2</v>
      </c>
      <c r="V103" s="43">
        <v>-2.3507962253717759E-2</v>
      </c>
      <c r="W103" s="43">
        <v>4.5832336854553901E-2</v>
      </c>
      <c r="X103" s="43">
        <v>-1.8602559037849131E-2</v>
      </c>
      <c r="Y103" s="43">
        <v>1.4378907781003701E-2</v>
      </c>
      <c r="Z103" s="43">
        <v>-2.625952982612989E-2</v>
      </c>
      <c r="AA103" s="43">
        <v>2.9084391695466168E-2</v>
      </c>
      <c r="AB103" s="43">
        <v>-1.4529796770183619E-2</v>
      </c>
      <c r="AC103" s="43">
        <v>-1.4527846729771589E-2</v>
      </c>
      <c r="AD103" s="43">
        <v>-8.2249399139034951E-3</v>
      </c>
      <c r="AE103" s="43">
        <v>-5.4646823060245493E-2</v>
      </c>
      <c r="AF103" s="43">
        <v>-2.3266451805415982E-3</v>
      </c>
      <c r="AG103" s="43">
        <v>-8.9425450148676866E-2</v>
      </c>
      <c r="AH103" s="43">
        <v>1.426134990206895E-2</v>
      </c>
      <c r="AI103" s="43">
        <v>0.1494441303664347</v>
      </c>
      <c r="AJ103" s="43">
        <v>-6.0629038520558232E-2</v>
      </c>
      <c r="AK103" s="43">
        <v>6.8401139990985849E-2</v>
      </c>
      <c r="AL103" s="43">
        <v>2.4501204207085129E-2</v>
      </c>
      <c r="AM103" s="43">
        <v>6.6830658320952807E-2</v>
      </c>
      <c r="AN103" s="43">
        <v>-8.806312686710982E-2</v>
      </c>
      <c r="AO103" s="43">
        <v>-8.2758598388114946E-2</v>
      </c>
      <c r="AP103" s="43">
        <v>2.8358794557701961E-2</v>
      </c>
      <c r="AQ103" s="43">
        <v>3.4634648488610198E-2</v>
      </c>
      <c r="AR103" s="43">
        <v>-3.4411563781546972E-2</v>
      </c>
      <c r="AS103" s="43">
        <v>0.14874125656779971</v>
      </c>
      <c r="AT103" s="43">
        <v>7.4673898488675894E-2</v>
      </c>
      <c r="AU103" s="43">
        <v>5.3808621949542168E-2</v>
      </c>
      <c r="AV103" s="43">
        <v>-1.483318127686606E-2</v>
      </c>
      <c r="AW103" s="43">
        <v>1.9451994895611339E-2</v>
      </c>
      <c r="AX103" s="43">
        <v>-7.565471087768616E-3</v>
      </c>
      <c r="AY103" s="43">
        <v>3.7678779984004818E-2</v>
      </c>
      <c r="AZ103" s="43">
        <v>4.8424362676078303E-3</v>
      </c>
    </row>
    <row r="104" spans="1:52" ht="16" x14ac:dyDescent="0.2">
      <c r="A104" s="41">
        <v>43282</v>
      </c>
      <c r="B104" s="44">
        <v>2.7983075607571409E-2</v>
      </c>
      <c r="C104" s="44">
        <v>7.9432758445260987E-2</v>
      </c>
      <c r="D104" s="44">
        <v>3.5683324141719819E-3</v>
      </c>
      <c r="E104" s="44">
        <v>0.15545854193674941</v>
      </c>
      <c r="F104" s="44">
        <v>6.4792065245423469E-2</v>
      </c>
      <c r="G104" s="44">
        <v>4.5676007550937259E-2</v>
      </c>
      <c r="H104" s="44">
        <v>6.6424241065177636E-2</v>
      </c>
      <c r="I104" s="44">
        <v>9.6873090316368371E-2</v>
      </c>
      <c r="J104" s="44">
        <v>4.6559701655332297E-2</v>
      </c>
      <c r="K104" s="44">
        <v>-9.5374451048813036E-3</v>
      </c>
      <c r="L104" s="44">
        <v>-1.2654698638435711E-3</v>
      </c>
      <c r="M104" s="44">
        <v>9.2193775425945423E-2</v>
      </c>
      <c r="N104" s="44">
        <v>2.6370661251522431E-3</v>
      </c>
      <c r="O104" s="44">
        <v>4.5415055672350053E-2</v>
      </c>
      <c r="P104" s="44">
        <v>3.7769614997348773E-2</v>
      </c>
      <c r="Q104" s="44">
        <v>-3.8104074227767508E-2</v>
      </c>
      <c r="R104" s="44">
        <v>-6.2046511125820603E-3</v>
      </c>
      <c r="S104" s="44">
        <v>7.6896091414188961E-2</v>
      </c>
      <c r="T104" s="44">
        <v>1.469192369526251E-3</v>
      </c>
      <c r="U104" s="44">
        <v>8.6814488689011871E-2</v>
      </c>
      <c r="V104" s="44">
        <v>7.6438251367575649E-2</v>
      </c>
      <c r="W104" s="44">
        <v>1.24037778556978E-2</v>
      </c>
      <c r="X104" s="44">
        <v>-6.8656579772038429E-3</v>
      </c>
      <c r="Y104" s="44">
        <v>9.2137898388670481E-2</v>
      </c>
      <c r="Z104" s="44">
        <v>0.109162048563997</v>
      </c>
      <c r="AA104" s="44">
        <v>6.3155319353187078E-2</v>
      </c>
      <c r="AB104" s="44">
        <v>-2.9384444108024099E-2</v>
      </c>
      <c r="AC104" s="44">
        <v>5.4245207975252008E-3</v>
      </c>
      <c r="AD104" s="44">
        <v>6.0130600954279467E-2</v>
      </c>
      <c r="AE104" s="44">
        <v>7.2971823889185661E-2</v>
      </c>
      <c r="AF104" s="44">
        <v>7.575275297983608E-2</v>
      </c>
      <c r="AG104" s="44">
        <v>6.6745015272606789E-3</v>
      </c>
      <c r="AH104" s="44">
        <v>3.0532972544246029E-3</v>
      </c>
      <c r="AI104" s="44">
        <v>-7.7262954987873389E-3</v>
      </c>
      <c r="AJ104" s="44">
        <v>3.3600683349637617E-2</v>
      </c>
      <c r="AK104" s="44">
        <v>7.4626928287584438E-2</v>
      </c>
      <c r="AL104" s="44">
        <v>8.735666069048964E-3</v>
      </c>
      <c r="AM104" s="44">
        <v>4.5529646516973221E-2</v>
      </c>
      <c r="AN104" s="44">
        <v>8.4697124660716661E-2</v>
      </c>
      <c r="AO104" s="44">
        <v>0.1278195461765099</v>
      </c>
      <c r="AP104" s="44">
        <v>-1.0657709626582519E-3</v>
      </c>
      <c r="AQ104" s="44">
        <v>4.8352756629845173E-2</v>
      </c>
      <c r="AR104" s="44">
        <v>0.1420173532372104</v>
      </c>
      <c r="AS104" s="44">
        <v>6.6726517510434791E-2</v>
      </c>
      <c r="AT104" s="44">
        <v>8.1359998945647272E-2</v>
      </c>
      <c r="AU104" s="44">
        <v>2.185350970621136E-2</v>
      </c>
      <c r="AV104" s="44">
        <v>1.529556632020812E-2</v>
      </c>
      <c r="AW104" s="44">
        <v>3.2118739613681502E-2</v>
      </c>
      <c r="AX104" s="44">
        <v>5.7947660103050858E-2</v>
      </c>
      <c r="AY104" s="44">
        <v>4.1797975332842352E-2</v>
      </c>
      <c r="AZ104" s="44">
        <v>3.602155617289915E-2</v>
      </c>
    </row>
    <row r="105" spans="1:52" ht="16" x14ac:dyDescent="0.2">
      <c r="A105" s="39">
        <v>43313</v>
      </c>
      <c r="B105" s="43">
        <v>0.2004222537052793</v>
      </c>
      <c r="C105" s="43">
        <v>1.9835014010332719E-2</v>
      </c>
      <c r="D105" s="43">
        <v>7.6957731132495599E-2</v>
      </c>
      <c r="E105" s="43">
        <v>-1.8896447031992562E-2</v>
      </c>
      <c r="F105" s="43">
        <v>2.350524006668997E-2</v>
      </c>
      <c r="G105" s="43">
        <v>0.13236448128539749</v>
      </c>
      <c r="H105" s="43">
        <v>-3.4422778427317453E-2</v>
      </c>
      <c r="I105" s="43">
        <v>3.3817537183688177E-2</v>
      </c>
      <c r="J105" s="43">
        <v>6.8577904445940474E-2</v>
      </c>
      <c r="K105" s="43">
        <v>0.1295818796336676</v>
      </c>
      <c r="L105" s="43">
        <v>-5.2857321345892723E-2</v>
      </c>
      <c r="M105" s="43">
        <v>-1.356124798710279E-2</v>
      </c>
      <c r="N105" s="43">
        <v>6.9509270976142012E-2</v>
      </c>
      <c r="O105" s="43">
        <v>6.8611718908935693E-2</v>
      </c>
      <c r="P105" s="43">
        <v>-8.3062003642458415E-2</v>
      </c>
      <c r="Q105" s="43">
        <v>-9.2270520628757957E-2</v>
      </c>
      <c r="R105" s="43">
        <v>0.1035126019893942</v>
      </c>
      <c r="S105" s="43">
        <v>-3.1838293927633272E-2</v>
      </c>
      <c r="T105" s="43">
        <v>-5.0623623640690063E-2</v>
      </c>
      <c r="U105" s="43">
        <v>3.7320671275027362E-3</v>
      </c>
      <c r="V105" s="43">
        <v>4.9176340369179172E-3</v>
      </c>
      <c r="W105" s="43">
        <v>2.1664240013717251E-2</v>
      </c>
      <c r="X105" s="43">
        <v>0.1107604845984036</v>
      </c>
      <c r="Y105" s="43">
        <v>2.3148270388731351E-2</v>
      </c>
      <c r="Z105" s="43">
        <v>-3.2187038498003862E-3</v>
      </c>
      <c r="AA105" s="43">
        <v>-4.4177613406848781E-2</v>
      </c>
      <c r="AB105" s="43">
        <v>2.0834232859715751E-2</v>
      </c>
      <c r="AC105" s="43">
        <v>3.619890817279825E-2</v>
      </c>
      <c r="AD105" s="43">
        <v>6.8491358601249219E-2</v>
      </c>
      <c r="AE105" s="43">
        <v>-3.4216967786250163E-2</v>
      </c>
      <c r="AF105" s="43">
        <v>6.2992990614300304E-2</v>
      </c>
      <c r="AG105" s="43">
        <v>-5.1148177356168389E-3</v>
      </c>
      <c r="AH105" s="43">
        <v>2.19306834853823E-2</v>
      </c>
      <c r="AI105" s="43">
        <v>0.11984038150582151</v>
      </c>
      <c r="AJ105" s="43">
        <v>0.14691468998030999</v>
      </c>
      <c r="AK105" s="43">
        <v>3.3260227599110959E-2</v>
      </c>
      <c r="AL105" s="43">
        <v>-5.2903550266250043E-2</v>
      </c>
      <c r="AM105" s="43">
        <v>2.5593331582635329E-2</v>
      </c>
      <c r="AN105" s="43">
        <v>4.3368406873686823E-2</v>
      </c>
      <c r="AO105" s="43">
        <v>0.1888888676961262</v>
      </c>
      <c r="AP105" s="43">
        <v>2.3773333440779251E-2</v>
      </c>
      <c r="AQ105" s="43">
        <v>5.0684246759713947E-2</v>
      </c>
      <c r="AR105" s="43">
        <v>7.2086022315861698E-2</v>
      </c>
      <c r="AS105" s="43">
        <v>0.1052688809127709</v>
      </c>
      <c r="AT105" s="43">
        <v>3.5725151713063667E-2</v>
      </c>
      <c r="AU105" s="43">
        <v>0.1350633635215501</v>
      </c>
      <c r="AV105" s="43">
        <v>9.7016279329784627E-3</v>
      </c>
      <c r="AW105" s="43">
        <v>6.0184525147290557E-2</v>
      </c>
      <c r="AX105" s="43">
        <v>1.022861597618907E-2</v>
      </c>
      <c r="AY105" s="43">
        <v>8.0541755756613265E-2</v>
      </c>
      <c r="AZ105" s="43">
        <v>3.0263211276748251E-2</v>
      </c>
    </row>
    <row r="106" spans="1:52" ht="16" x14ac:dyDescent="0.2">
      <c r="A106" s="41">
        <v>43344</v>
      </c>
      <c r="B106" s="44">
        <v>-8.3031071441821425E-3</v>
      </c>
      <c r="C106" s="44">
        <v>9.7546564579503281E-2</v>
      </c>
      <c r="D106" s="44">
        <v>2.443930857554211E-2</v>
      </c>
      <c r="E106" s="44">
        <v>8.0893680686687786E-2</v>
      </c>
      <c r="F106" s="44">
        <v>3.7435530480306678E-2</v>
      </c>
      <c r="G106" s="44">
        <v>-4.8243068342539441E-3</v>
      </c>
      <c r="H106" s="44">
        <v>9.8235106004989969E-2</v>
      </c>
      <c r="I106" s="44">
        <v>-4.2714190620005699E-2</v>
      </c>
      <c r="J106" s="44">
        <v>7.5063732224578414E-3</v>
      </c>
      <c r="K106" s="44">
        <v>1.8421383890616871E-2</v>
      </c>
      <c r="L106" s="44">
        <v>3.2247483414056477E-2</v>
      </c>
      <c r="M106" s="44">
        <v>4.3920817790057853E-2</v>
      </c>
      <c r="N106" s="44">
        <v>4.4591992868460162E-2</v>
      </c>
      <c r="O106" s="44">
        <v>-1.9550815828808239E-3</v>
      </c>
      <c r="P106" s="44">
        <v>7.8998385002580163E-2</v>
      </c>
      <c r="Q106" s="44">
        <v>-5.6945266101006031E-2</v>
      </c>
      <c r="R106" s="44">
        <v>5.4462792500472812E-2</v>
      </c>
      <c r="S106" s="44">
        <v>5.8531631354020293E-2</v>
      </c>
      <c r="T106" s="44">
        <v>-0.1191954766836824</v>
      </c>
      <c r="U106" s="44">
        <v>-2.006826249277582E-2</v>
      </c>
      <c r="V106" s="44">
        <v>-5.7062584352980839E-2</v>
      </c>
      <c r="W106" s="44">
        <v>3.1777684239901793E-2</v>
      </c>
      <c r="X106" s="44">
        <v>-6.5349771231723364E-2</v>
      </c>
      <c r="Y106" s="44">
        <v>2.5836766279391469E-2</v>
      </c>
      <c r="Z106" s="44">
        <v>-1.518612447994894E-2</v>
      </c>
      <c r="AA106" s="44">
        <v>4.5162610853144443E-2</v>
      </c>
      <c r="AB106" s="44">
        <v>4.6674705534391459E-2</v>
      </c>
      <c r="AC106" s="44">
        <v>3.119012379543662E-2</v>
      </c>
      <c r="AD106" s="44">
        <v>2.0330416808084228E-2</v>
      </c>
      <c r="AE106" s="44">
        <v>-4.6282562325129388E-2</v>
      </c>
      <c r="AF106" s="44">
        <v>1.816076317567461E-2</v>
      </c>
      <c r="AG106" s="44">
        <v>-0.13880440618357789</v>
      </c>
      <c r="AH106" s="44">
        <v>-1.4697378048499909E-2</v>
      </c>
      <c r="AI106" s="44">
        <v>-1.0597933599633571E-2</v>
      </c>
      <c r="AJ106" s="44">
        <v>1.211323477692039E-3</v>
      </c>
      <c r="AK106" s="44">
        <v>-2.3700037688182851E-2</v>
      </c>
      <c r="AL106" s="44">
        <v>2.852341445607709E-2</v>
      </c>
      <c r="AM106" s="44">
        <v>3.3756669541253892E-3</v>
      </c>
      <c r="AN106" s="44">
        <v>4.7437426691996798E-2</v>
      </c>
      <c r="AO106" s="44">
        <v>-7.943920027544249E-2</v>
      </c>
      <c r="AP106" s="44">
        <v>1.6297582600178769E-2</v>
      </c>
      <c r="AQ106" s="44">
        <v>-0.1056439982154429</v>
      </c>
      <c r="AR106" s="44">
        <v>5.7864422511207492E-2</v>
      </c>
      <c r="AS106" s="44">
        <v>-6.6625602677656834E-3</v>
      </c>
      <c r="AT106" s="44">
        <v>-8.1238355385904182E-4</v>
      </c>
      <c r="AU106" s="44">
        <v>1.864126299982316E-2</v>
      </c>
      <c r="AV106" s="44">
        <v>-4.5462832699999178E-2</v>
      </c>
      <c r="AW106" s="44">
        <v>-5.6705741329508008E-3</v>
      </c>
      <c r="AX106" s="44">
        <v>8.1064994961439041E-2</v>
      </c>
      <c r="AY106" s="44">
        <v>-2.0341931511502879E-2</v>
      </c>
      <c r="AZ106" s="44">
        <v>4.2942874264617634E-3</v>
      </c>
    </row>
    <row r="107" spans="1:52" ht="16" x14ac:dyDescent="0.2">
      <c r="A107" s="39">
        <v>43374</v>
      </c>
      <c r="B107" s="43">
        <v>-3.0477425734585339E-2</v>
      </c>
      <c r="C107" s="43">
        <v>-5.638687419130417E-2</v>
      </c>
      <c r="D107" s="43">
        <v>-8.9609248402787278E-2</v>
      </c>
      <c r="E107" s="43">
        <v>-6.6286549176531095E-2</v>
      </c>
      <c r="F107" s="43">
        <v>-6.9950317350001123E-2</v>
      </c>
      <c r="G107" s="43">
        <v>-0.20219175018307881</v>
      </c>
      <c r="H107" s="43">
        <v>-0.1993361602960072</v>
      </c>
      <c r="I107" s="43">
        <v>8.2889238248004871E-2</v>
      </c>
      <c r="J107" s="43">
        <v>-2.6609029626384562E-2</v>
      </c>
      <c r="K107" s="43">
        <v>-5.3251722103891397E-2</v>
      </c>
      <c r="L107" s="43">
        <v>-8.6931639233723601E-2</v>
      </c>
      <c r="M107" s="43">
        <v>-1.8043252462624389E-2</v>
      </c>
      <c r="N107" s="43">
        <v>-2.3153913993770089E-2</v>
      </c>
      <c r="O107" s="43">
        <v>-0.1136064575670248</v>
      </c>
      <c r="P107" s="43">
        <v>-0.17277222638802861</v>
      </c>
      <c r="Q107" s="43">
        <v>-0.2172685991524784</v>
      </c>
      <c r="R107" s="43">
        <v>-0.121051046090159</v>
      </c>
      <c r="S107" s="43">
        <v>-0.1531668331525492</v>
      </c>
      <c r="T107" s="43">
        <v>-0.1054030479564024</v>
      </c>
      <c r="U107" s="43">
        <v>-9.6513876132842236E-2</v>
      </c>
      <c r="V107" s="43">
        <v>5.0390847694361529E-3</v>
      </c>
      <c r="W107" s="43">
        <v>-0.15095344664819699</v>
      </c>
      <c r="X107" s="43">
        <v>-6.1667661020752829E-2</v>
      </c>
      <c r="Y107" s="43">
        <v>1.317285974365134E-2</v>
      </c>
      <c r="Z107" s="43">
        <v>-2.7087316521286819E-2</v>
      </c>
      <c r="AA107" s="43">
        <v>3.6588172574855582E-2</v>
      </c>
      <c r="AB107" s="43">
        <v>-4.6089492766121072E-2</v>
      </c>
      <c r="AC107" s="43">
        <v>5.744504992088606E-2</v>
      </c>
      <c r="AD107" s="43">
        <v>-8.6917191395408433E-2</v>
      </c>
      <c r="AE107" s="43">
        <v>-1.280235380599448E-2</v>
      </c>
      <c r="AF107" s="43">
        <v>-6.6101406925907824E-2</v>
      </c>
      <c r="AG107" s="43">
        <v>-0.16604001495245879</v>
      </c>
      <c r="AH107" s="43">
        <v>2.9236632944963811E-2</v>
      </c>
      <c r="AI107" s="43">
        <v>-8.1874866239641131E-2</v>
      </c>
      <c r="AJ107" s="43">
        <v>-0.2497686501646835</v>
      </c>
      <c r="AK107" s="43">
        <v>-0.31376810607677807</v>
      </c>
      <c r="AL107" s="43">
        <v>-3.2305571473424721E-2</v>
      </c>
      <c r="AM107" s="43">
        <v>7.4895855706669456E-2</v>
      </c>
      <c r="AN107" s="43">
        <v>-0.17561024562682631</v>
      </c>
      <c r="AO107" s="43">
        <v>-1.1167574222484379E-2</v>
      </c>
      <c r="AP107" s="43">
        <v>-4.8974746282220212E-2</v>
      </c>
      <c r="AQ107" s="43">
        <v>-8.4358233649930559E-2</v>
      </c>
      <c r="AR107" s="43">
        <v>-0.1268914568060503</v>
      </c>
      <c r="AS107" s="43">
        <v>-0.1603801579345602</v>
      </c>
      <c r="AT107" s="43">
        <v>-0.13562968668577419</v>
      </c>
      <c r="AU107" s="43">
        <v>-1.9103490216138889E-2</v>
      </c>
      <c r="AV107" s="43">
        <v>-0.12732316104073921</v>
      </c>
      <c r="AW107" s="43">
        <v>-1.7628909512460541E-2</v>
      </c>
      <c r="AX107" s="43">
        <v>-0.10200785295585831</v>
      </c>
      <c r="AY107" s="43">
        <v>6.7830848769975249E-2</v>
      </c>
      <c r="AZ107" s="43">
        <v>-6.94033560936963E-2</v>
      </c>
    </row>
    <row r="108" spans="1:52" ht="16" x14ac:dyDescent="0.2">
      <c r="A108" s="41">
        <v>43405</v>
      </c>
      <c r="B108" s="44">
        <v>-0.18119735646273499</v>
      </c>
      <c r="C108" s="44">
        <v>7.4122633291974216E-2</v>
      </c>
      <c r="D108" s="44">
        <v>2.0874043772286081E-2</v>
      </c>
      <c r="E108" s="44">
        <v>0.13312978962905531</v>
      </c>
      <c r="F108" s="44">
        <v>8.7733619564468013E-2</v>
      </c>
      <c r="G108" s="44">
        <v>5.7671752452419733E-2</v>
      </c>
      <c r="H108" s="44">
        <v>0.11828226384831809</v>
      </c>
      <c r="I108" s="44">
        <v>2.2811025152814409E-2</v>
      </c>
      <c r="J108" s="44">
        <v>1.399540015319967E-2</v>
      </c>
      <c r="K108" s="44">
        <v>4.6339067860934342E-2</v>
      </c>
      <c r="L108" s="44">
        <v>7.5704216861077978E-2</v>
      </c>
      <c r="M108" s="44">
        <v>5.7474835798416724E-3</v>
      </c>
      <c r="N108" s="44">
        <v>4.7927390798562231E-2</v>
      </c>
      <c r="O108" s="44">
        <v>1.9807513228169431E-3</v>
      </c>
      <c r="P108" s="44">
        <v>-1.9271046245683099E-2</v>
      </c>
      <c r="Q108" s="44">
        <v>0.46431143716795442</v>
      </c>
      <c r="R108" s="44">
        <v>-1.888405740327237E-2</v>
      </c>
      <c r="S108" s="44">
        <v>7.1329269811253093E-2</v>
      </c>
      <c r="T108" s="44">
        <v>-0.25742581940942411</v>
      </c>
      <c r="U108" s="44">
        <v>1.748609134748591E-2</v>
      </c>
      <c r="V108" s="44">
        <v>-0.15045380353487359</v>
      </c>
      <c r="W108" s="44">
        <v>3.137743266154347E-2</v>
      </c>
      <c r="X108" s="44">
        <v>-8.7935775610583633E-3</v>
      </c>
      <c r="Y108" s="44">
        <v>5.6042795825895553E-2</v>
      </c>
      <c r="Z108" s="44">
        <v>1.9904565106942052E-2</v>
      </c>
      <c r="AA108" s="44">
        <v>6.0955142360031862E-2</v>
      </c>
      <c r="AB108" s="44">
        <v>6.1334553603372033E-2</v>
      </c>
      <c r="AC108" s="44">
        <v>7.2201952184739016E-2</v>
      </c>
      <c r="AD108" s="44">
        <v>8.5838315875450766E-2</v>
      </c>
      <c r="AE108" s="44">
        <v>-2.7813851796795849E-2</v>
      </c>
      <c r="AF108" s="44">
        <v>4.2683730879398578E-2</v>
      </c>
      <c r="AG108" s="44">
        <v>2.226944045187906E-2</v>
      </c>
      <c r="AH108" s="44">
        <v>5.9999835775843557E-2</v>
      </c>
      <c r="AI108" s="44">
        <v>-0.14804418506871159</v>
      </c>
      <c r="AJ108" s="44">
        <v>-0.22404988214185559</v>
      </c>
      <c r="AK108" s="44">
        <v>-0.1135163441344248</v>
      </c>
      <c r="AL108" s="44">
        <v>-5.104811301576484E-2</v>
      </c>
      <c r="AM108" s="44">
        <v>6.5742160695825946E-2</v>
      </c>
      <c r="AN108" s="44">
        <v>0.13966852902513741</v>
      </c>
      <c r="AO108" s="44">
        <v>-4.1067723606769144E-3</v>
      </c>
      <c r="AP108" s="44">
        <v>4.4516412661625759E-2</v>
      </c>
      <c r="AQ108" s="44">
        <v>-3.6875500816144879E-2</v>
      </c>
      <c r="AR108" s="44">
        <v>-7.3620532406613481E-2</v>
      </c>
      <c r="AS108" s="44">
        <v>7.7850522724779658E-2</v>
      </c>
      <c r="AT108" s="44">
        <v>8.0008204956923956E-2</v>
      </c>
      <c r="AU108" s="44">
        <v>-0.1076107776419373</v>
      </c>
      <c r="AV108" s="44">
        <v>7.5621736061527445E-2</v>
      </c>
      <c r="AW108" s="44">
        <v>8.0003704007711063E-2</v>
      </c>
      <c r="AX108" s="44">
        <v>5.7267979592226403E-2</v>
      </c>
      <c r="AY108" s="44">
        <v>-2.6226602620910259E-2</v>
      </c>
      <c r="AZ108" s="44">
        <v>1.7859356654779779E-2</v>
      </c>
    </row>
    <row r="109" spans="1:52" ht="16" x14ac:dyDescent="0.2">
      <c r="A109" s="39">
        <v>43435</v>
      </c>
      <c r="B109" s="43">
        <v>-0.1166985694694908</v>
      </c>
      <c r="C109" s="43">
        <v>-2.322807421236539E-2</v>
      </c>
      <c r="D109" s="43">
        <v>-9.8250205095665621E-2</v>
      </c>
      <c r="E109" s="43">
        <v>-8.5421771261257495E-2</v>
      </c>
      <c r="F109" s="43">
        <v>-6.5210005595651488E-2</v>
      </c>
      <c r="G109" s="43">
        <v>-0.11134970006404429</v>
      </c>
      <c r="H109" s="43">
        <v>-6.3389219394783258E-2</v>
      </c>
      <c r="I109" s="43">
        <v>-0.1222922737770149</v>
      </c>
      <c r="J109" s="43">
        <v>-0.1192064409881062</v>
      </c>
      <c r="K109" s="43">
        <v>-9.4840312372281965E-2</v>
      </c>
      <c r="L109" s="43">
        <v>-8.5336929689034169E-2</v>
      </c>
      <c r="M109" s="43">
        <v>-4.3202577488220872E-2</v>
      </c>
      <c r="N109" s="43">
        <v>-7.9131902849011504E-2</v>
      </c>
      <c r="O109" s="43">
        <v>-0.11507672171940669</v>
      </c>
      <c r="P109" s="43">
        <v>-0.1558417747213561</v>
      </c>
      <c r="Q109" s="43">
        <v>-3.1511541431679779E-2</v>
      </c>
      <c r="R109" s="43">
        <v>-5.7800792992083738E-2</v>
      </c>
      <c r="S109" s="43">
        <v>-0.14971056752838249</v>
      </c>
      <c r="T109" s="43">
        <v>1.072155399444252E-2</v>
      </c>
      <c r="U109" s="43">
        <v>-5.8297632125471899E-2</v>
      </c>
      <c r="V109" s="43">
        <v>-0.1239708373167059</v>
      </c>
      <c r="W109" s="43">
        <v>-4.7138508690216303E-2</v>
      </c>
      <c r="X109" s="43">
        <v>-1.027237116594726E-2</v>
      </c>
      <c r="Y109" s="43">
        <v>-0.1215113613105802</v>
      </c>
      <c r="Z109" s="43">
        <v>-0.1220435063365805</v>
      </c>
      <c r="AA109" s="43">
        <v>-6.0515768361305122E-2</v>
      </c>
      <c r="AB109" s="43">
        <v>-4.853732285159762E-2</v>
      </c>
      <c r="AC109" s="43">
        <v>-5.8033880910968387E-2</v>
      </c>
      <c r="AD109" s="43">
        <v>-6.2074536379306933E-2</v>
      </c>
      <c r="AE109" s="43">
        <v>-0.1067811248857673</v>
      </c>
      <c r="AF109" s="43">
        <v>-8.4047021144418976E-2</v>
      </c>
      <c r="AG109" s="43">
        <v>-0.1771267269787401</v>
      </c>
      <c r="AH109" s="43">
        <v>-4.3421049010501367E-2</v>
      </c>
      <c r="AI109" s="43">
        <v>-0.1076718770467637</v>
      </c>
      <c r="AJ109" s="43">
        <v>-0.18313675354668421</v>
      </c>
      <c r="AK109" s="43">
        <v>-0.27933295284816329</v>
      </c>
      <c r="AL109" s="43">
        <v>-0.1217645579312627</v>
      </c>
      <c r="AM109" s="43">
        <v>-2.740451735264415E-2</v>
      </c>
      <c r="AN109" s="43">
        <v>-0.13310876982716219</v>
      </c>
      <c r="AO109" s="43">
        <v>-2.0618045858364908E-3</v>
      </c>
      <c r="AP109" s="43">
        <v>-0.1215005958965706</v>
      </c>
      <c r="AQ109" s="43">
        <v>-0.12941895823820421</v>
      </c>
      <c r="AR109" s="43">
        <v>-1.2567573969585299E-2</v>
      </c>
      <c r="AS109" s="43">
        <v>2.1468693703389888E-2</v>
      </c>
      <c r="AT109" s="43">
        <v>-7.2181480075892535E-2</v>
      </c>
      <c r="AU109" s="43">
        <v>-8.4135157561405771E-2</v>
      </c>
      <c r="AV109" s="43">
        <v>-5.3580244362838703E-2</v>
      </c>
      <c r="AW109" s="43">
        <v>-0.11458596585612291</v>
      </c>
      <c r="AX109" s="43">
        <v>-0.10111846497598349</v>
      </c>
      <c r="AY109" s="43">
        <v>-4.0877386469843402E-2</v>
      </c>
      <c r="AZ109" s="43">
        <v>-9.177689467997252E-2</v>
      </c>
    </row>
    <row r="110" spans="1:52" ht="16" x14ac:dyDescent="0.2">
      <c r="A110" s="41">
        <v>43466</v>
      </c>
      <c r="B110" s="44">
        <v>5.5154117594612202E-2</v>
      </c>
      <c r="C110" s="44">
        <v>1.366558084774994E-2</v>
      </c>
      <c r="D110" s="44">
        <v>9.5385437177717636E-2</v>
      </c>
      <c r="E110" s="44">
        <v>-0.1138773724265263</v>
      </c>
      <c r="F110" s="44">
        <v>-3.883493316857789E-2</v>
      </c>
      <c r="G110" s="44">
        <v>0.14431709005232071</v>
      </c>
      <c r="H110" s="44">
        <v>5.4667859082160992E-2</v>
      </c>
      <c r="I110" s="44">
        <v>7.4008572516365057E-2</v>
      </c>
      <c r="J110" s="44">
        <v>5.3605490249913457E-2</v>
      </c>
      <c r="K110" s="44">
        <v>9.9842094577663021E-2</v>
      </c>
      <c r="L110" s="44">
        <v>5.3865112471630949E-2</v>
      </c>
      <c r="M110" s="44">
        <v>1.705424903772701E-2</v>
      </c>
      <c r="N110" s="44">
        <v>7.3430302821054561E-2</v>
      </c>
      <c r="O110" s="44">
        <v>9.5732190527665129E-2</v>
      </c>
      <c r="P110" s="44">
        <v>0.14002827692824019</v>
      </c>
      <c r="Q110" s="44">
        <v>0.1982714592477561</v>
      </c>
      <c r="R110" s="44">
        <v>-6.6654436782769277E-3</v>
      </c>
      <c r="S110" s="44">
        <v>9.5023175352930256E-2</v>
      </c>
      <c r="T110" s="44">
        <v>0.34214036961667721</v>
      </c>
      <c r="U110" s="44">
        <v>7.7447796360643029E-2</v>
      </c>
      <c r="V110" s="44">
        <v>0.18533368386374691</v>
      </c>
      <c r="W110" s="44">
        <v>6.8152548515323375E-2</v>
      </c>
      <c r="X110" s="44">
        <v>0.2673375710726571</v>
      </c>
      <c r="Y110" s="44">
        <v>3.1228183404810039E-2</v>
      </c>
      <c r="Z110" s="44">
        <v>6.8843688029777361E-2</v>
      </c>
      <c r="AA110" s="44">
        <v>1.6472766672103841E-2</v>
      </c>
      <c r="AB110" s="44">
        <v>-0.107740054675692</v>
      </c>
      <c r="AC110" s="44">
        <v>6.8142989866850634E-3</v>
      </c>
      <c r="AD110" s="44">
        <v>-2.8254147830153901E-2</v>
      </c>
      <c r="AE110" s="44">
        <v>7.4420870864498889E-2</v>
      </c>
      <c r="AF110" s="44">
        <v>2.8157837715909961E-2</v>
      </c>
      <c r="AG110" s="44">
        <v>0.2045385391536261</v>
      </c>
      <c r="AH110" s="44">
        <v>2.9685637981386351E-2</v>
      </c>
      <c r="AI110" s="44">
        <v>7.5843144910154425E-2</v>
      </c>
      <c r="AJ110" s="44">
        <v>7.6778907632178983E-2</v>
      </c>
      <c r="AK110" s="44">
        <v>0.29669413931683808</v>
      </c>
      <c r="AL110" s="44">
        <v>0.2067411462339401</v>
      </c>
      <c r="AM110" s="44">
        <v>5.7800249422560679E-2</v>
      </c>
      <c r="AN110" s="44">
        <v>0.10506931477989891</v>
      </c>
      <c r="AO110" s="44">
        <v>0.1043387648105223</v>
      </c>
      <c r="AP110" s="44">
        <v>0.17779294821114691</v>
      </c>
      <c r="AQ110" s="44">
        <v>0.1131093902930571</v>
      </c>
      <c r="AR110" s="44">
        <v>-0.12985399237385281</v>
      </c>
      <c r="AS110" s="44">
        <v>0.14931723823149179</v>
      </c>
      <c r="AT110" s="44">
        <v>7.1315937032017329E-2</v>
      </c>
      <c r="AU110" s="44">
        <v>0.11153340594559991</v>
      </c>
      <c r="AV110" s="44">
        <v>7.3553338059312745E-2</v>
      </c>
      <c r="AW110" s="44">
        <v>8.4617853328859294E-2</v>
      </c>
      <c r="AX110" s="44">
        <v>0.15076345417377551</v>
      </c>
      <c r="AY110" s="44">
        <v>2.8770667116352119E-2</v>
      </c>
      <c r="AZ110" s="44">
        <v>7.8684401665826131E-2</v>
      </c>
    </row>
    <row r="111" spans="1:52" ht="16" x14ac:dyDescent="0.2">
      <c r="A111" s="39">
        <v>43497</v>
      </c>
      <c r="B111" s="43">
        <v>4.4776370483988082E-2</v>
      </c>
      <c r="C111" s="43">
        <v>6.3578785053457709E-2</v>
      </c>
      <c r="D111" s="43">
        <v>5.9236511346622889E-2</v>
      </c>
      <c r="E111" s="43">
        <v>0.1173731900165664</v>
      </c>
      <c r="F111" s="43">
        <v>2.372753631738922E-2</v>
      </c>
      <c r="G111" s="43">
        <v>-4.5905984879618167E-2</v>
      </c>
      <c r="H111" s="43">
        <v>3.139070873295613E-2</v>
      </c>
      <c r="I111" s="43">
        <v>5.7424520205718421E-2</v>
      </c>
      <c r="J111" s="43">
        <v>2.1902335230077119E-2</v>
      </c>
      <c r="K111" s="43">
        <v>9.4734732518189313E-2</v>
      </c>
      <c r="L111" s="43">
        <v>5.348512292283214E-2</v>
      </c>
      <c r="M111" s="43">
        <v>1.1836394167646039E-2</v>
      </c>
      <c r="N111" s="43">
        <v>6.7901812795932548E-2</v>
      </c>
      <c r="O111" s="43">
        <v>4.8444335386093051E-2</v>
      </c>
      <c r="P111" s="43">
        <v>-5.2419233187528058E-2</v>
      </c>
      <c r="Q111" s="43">
        <v>-5.0063653816461377E-2</v>
      </c>
      <c r="R111" s="43">
        <v>4.4672274481113439E-2</v>
      </c>
      <c r="S111" s="43">
        <v>-5.549964437953081E-3</v>
      </c>
      <c r="T111" s="43">
        <v>6.3543359925393617E-2</v>
      </c>
      <c r="U111" s="43">
        <v>5.8625701370673688E-4</v>
      </c>
      <c r="V111" s="43">
        <v>-2.604356238826933E-3</v>
      </c>
      <c r="W111" s="43">
        <v>8.7723811587658851E-3</v>
      </c>
      <c r="X111" s="43">
        <v>6.9983959242237104E-2</v>
      </c>
      <c r="Y111" s="43">
        <v>3.3560388851869183E-2</v>
      </c>
      <c r="Z111" s="43">
        <v>8.3092819692145437E-3</v>
      </c>
      <c r="AA111" s="43">
        <v>-5.796740688678037E-2</v>
      </c>
      <c r="AB111" s="43">
        <v>8.0516488973890299E-2</v>
      </c>
      <c r="AC111" s="43">
        <v>3.4849581866659207E-2</v>
      </c>
      <c r="AD111" s="43">
        <v>2.3871923409313881E-2</v>
      </c>
      <c r="AE111" s="43">
        <v>-7.5650952424497486E-3</v>
      </c>
      <c r="AF111" s="43">
        <v>7.7357315458686404E-2</v>
      </c>
      <c r="AG111" s="43">
        <v>6.9596944373109482E-2</v>
      </c>
      <c r="AH111" s="43">
        <v>5.5844239838775962E-2</v>
      </c>
      <c r="AI111" s="43">
        <v>2.24244333214727E-2</v>
      </c>
      <c r="AJ111" s="43">
        <v>7.4219248692769746E-2</v>
      </c>
      <c r="AK111" s="43">
        <v>-1.5296352934147221E-2</v>
      </c>
      <c r="AL111" s="43">
        <v>7.7861840985526953E-4</v>
      </c>
      <c r="AM111" s="43">
        <v>2.156091514206504E-2</v>
      </c>
      <c r="AN111" s="43">
        <v>7.3783468935848306E-2</v>
      </c>
      <c r="AO111" s="43">
        <v>-8.2319849888623509E-2</v>
      </c>
      <c r="AP111" s="43">
        <v>1.301322258550708E-2</v>
      </c>
      <c r="AQ111" s="43">
        <v>0.12900790507839771</v>
      </c>
      <c r="AR111" s="43">
        <v>7.8150307186793944E-2</v>
      </c>
      <c r="AS111" s="43">
        <v>3.424299458170355E-3</v>
      </c>
      <c r="AT111" s="43">
        <v>3.0357506314510289E-2</v>
      </c>
      <c r="AU111" s="43">
        <v>3.5427941138683972E-2</v>
      </c>
      <c r="AV111" s="43">
        <v>5.0655309168395668E-2</v>
      </c>
      <c r="AW111" s="43">
        <v>-0.1035528361192907</v>
      </c>
      <c r="AX111" s="43">
        <v>5.9733623952125108E-2</v>
      </c>
      <c r="AY111" s="43">
        <v>3.2975210917648878E-2</v>
      </c>
      <c r="AZ111" s="43">
        <v>2.9728889343927149E-2</v>
      </c>
    </row>
    <row r="112" spans="1:52" ht="16" x14ac:dyDescent="0.2">
      <c r="A112" s="41">
        <v>43525</v>
      </c>
      <c r="B112" s="44">
        <v>9.7025930386901438E-2</v>
      </c>
      <c r="C112" s="44">
        <v>2.9889587915627791E-2</v>
      </c>
      <c r="D112" s="44">
        <v>1.519996279761915E-2</v>
      </c>
      <c r="E112" s="44">
        <v>-5.3861017425918763E-2</v>
      </c>
      <c r="F112" s="44">
        <v>-5.2603521685379295E-4</v>
      </c>
      <c r="G112" s="44">
        <v>8.5935707313532728E-2</v>
      </c>
      <c r="H112" s="44">
        <v>-1.346994997047635E-2</v>
      </c>
      <c r="I112" s="44">
        <v>3.3876631345162389E-2</v>
      </c>
      <c r="J112" s="44">
        <v>0.1069761249461665</v>
      </c>
      <c r="K112" s="44">
        <v>4.2882051794129288E-2</v>
      </c>
      <c r="L112" s="44">
        <v>3.0105396615041299E-2</v>
      </c>
      <c r="M112" s="44">
        <v>-1.6040461183288168E-2</v>
      </c>
      <c r="N112" s="44">
        <v>4.7934645597681902E-2</v>
      </c>
      <c r="O112" s="44">
        <v>4.6955666557946252E-3</v>
      </c>
      <c r="P112" s="44">
        <v>1.2553048458986421E-2</v>
      </c>
      <c r="Q112" s="44">
        <v>6.2974537108026585E-2</v>
      </c>
      <c r="R112" s="44">
        <v>-6.6670671788745861E-2</v>
      </c>
      <c r="S112" s="44">
        <v>-5.5224280087556874E-3</v>
      </c>
      <c r="T112" s="44">
        <v>-3.7480121924960197E-2</v>
      </c>
      <c r="U112" s="44">
        <v>4.4685169592223239E-2</v>
      </c>
      <c r="V112" s="44">
        <v>-2.39449677912138E-2</v>
      </c>
      <c r="W112" s="44">
        <v>4.4176742171908812E-2</v>
      </c>
      <c r="X112" s="44">
        <v>-2.5513303042847819E-3</v>
      </c>
      <c r="Y112" s="44">
        <v>2.3053426169181931E-2</v>
      </c>
      <c r="Z112" s="44">
        <v>-2.9992115816066759E-2</v>
      </c>
      <c r="AA112" s="44">
        <v>4.2546174456349783E-2</v>
      </c>
      <c r="AB112" s="44">
        <v>4.6717854672130972E-2</v>
      </c>
      <c r="AC112" s="44">
        <v>3.2963475248427132E-2</v>
      </c>
      <c r="AD112" s="44">
        <v>1.192497396447312E-2</v>
      </c>
      <c r="AE112" s="44">
        <v>5.2407701515690963E-3</v>
      </c>
      <c r="AF112" s="44">
        <v>5.2753884276724998E-2</v>
      </c>
      <c r="AG112" s="44">
        <v>1.1007840569660979E-2</v>
      </c>
      <c r="AH112" s="44">
        <v>2.9831435731626051E-2</v>
      </c>
      <c r="AI112" s="44">
        <v>6.3496731611220492E-2</v>
      </c>
      <c r="AJ112" s="44">
        <v>0.16400853836759641</v>
      </c>
      <c r="AK112" s="44">
        <v>2.0712016339743618E-2</v>
      </c>
      <c r="AL112" s="44">
        <v>8.6834732555409966E-2</v>
      </c>
      <c r="AM112" s="44">
        <v>5.5809305519424868E-2</v>
      </c>
      <c r="AN112" s="44">
        <v>-2.5772383582101321E-2</v>
      </c>
      <c r="AO112" s="44">
        <v>-3.6697308354001978E-2</v>
      </c>
      <c r="AP112" s="44">
        <v>3.4552192815859861E-2</v>
      </c>
      <c r="AQ112" s="44">
        <v>-1.006257892127427E-2</v>
      </c>
      <c r="AR112" s="44">
        <v>8.0598059940078182E-2</v>
      </c>
      <c r="AS112" s="44">
        <v>-4.6710332559081857E-2</v>
      </c>
      <c r="AT112" s="44">
        <v>-5.7479649098738372E-3</v>
      </c>
      <c r="AU112" s="44">
        <v>3.7433899454367037E-2</v>
      </c>
      <c r="AV112" s="44">
        <v>2.7415143255420378E-3</v>
      </c>
      <c r="AW112" s="44">
        <v>2.470356976438803E-2</v>
      </c>
      <c r="AX112" s="44">
        <v>-2.9817328623594759E-3</v>
      </c>
      <c r="AY112" s="44">
        <v>-9.4478960044263038E-3</v>
      </c>
      <c r="AZ112" s="44">
        <v>1.7924256249588488E-2</v>
      </c>
    </row>
    <row r="113" spans="1:52" ht="16" x14ac:dyDescent="0.2">
      <c r="A113" s="39">
        <v>43556</v>
      </c>
      <c r="B113" s="43">
        <v>5.6435860710013941E-2</v>
      </c>
      <c r="C113" s="43">
        <v>-6.8068375032681594E-4</v>
      </c>
      <c r="D113" s="43">
        <v>8.5406621635611302E-2</v>
      </c>
      <c r="E113" s="43">
        <v>6.7777973941640424E-2</v>
      </c>
      <c r="F113" s="43">
        <v>-5.6111157594226579E-2</v>
      </c>
      <c r="G113" s="43">
        <v>8.1858745469169936E-2</v>
      </c>
      <c r="H113" s="43">
        <v>3.5242749510504552E-2</v>
      </c>
      <c r="I113" s="43">
        <v>9.4496145279030053E-2</v>
      </c>
      <c r="J113" s="43">
        <v>1.400025336985755E-2</v>
      </c>
      <c r="K113" s="43">
        <v>4.286402593297467E-2</v>
      </c>
      <c r="L113" s="43">
        <v>-2.5328821295761309E-2</v>
      </c>
      <c r="M113" s="43">
        <v>0.23363056049092881</v>
      </c>
      <c r="N113" s="43">
        <v>4.2709994164016329E-2</v>
      </c>
      <c r="O113" s="43">
        <v>3.6804488026473743E-2</v>
      </c>
      <c r="P113" s="43">
        <v>1.1253263102485979E-2</v>
      </c>
      <c r="Q113" s="43">
        <v>-0.1739495597630849</v>
      </c>
      <c r="R113" s="43">
        <v>-1.9116026697874039E-4</v>
      </c>
      <c r="S113" s="43">
        <v>6.2162331873967018E-2</v>
      </c>
      <c r="T113" s="43">
        <v>1.8017963778702351E-2</v>
      </c>
      <c r="U113" s="43">
        <v>1.8752736361060229E-2</v>
      </c>
      <c r="V113" s="43">
        <v>7.2555894816678457E-2</v>
      </c>
      <c r="W113" s="43">
        <v>6.1546075152009161E-2</v>
      </c>
      <c r="X113" s="43">
        <v>-0.10708055872251949</v>
      </c>
      <c r="Y113" s="43">
        <v>1.008649949230178E-2</v>
      </c>
      <c r="Z113" s="43">
        <v>0.15517084858286601</v>
      </c>
      <c r="AA113" s="43">
        <v>4.6948456326828758E-2</v>
      </c>
      <c r="AB113" s="43">
        <v>-0.12181014778572551</v>
      </c>
      <c r="AC113" s="43">
        <v>4.0389634349250247E-2</v>
      </c>
      <c r="AD113" s="43">
        <v>-2.4923189313231339E-2</v>
      </c>
      <c r="AE113" s="43">
        <v>0.15057251839119479</v>
      </c>
      <c r="AF113" s="43">
        <v>0.1073428682614315</v>
      </c>
      <c r="AG113" s="43">
        <v>1.7662690848816661E-2</v>
      </c>
      <c r="AH113" s="43">
        <v>5.7935170205738462E-3</v>
      </c>
      <c r="AI113" s="43">
        <v>5.6456579922982593E-2</v>
      </c>
      <c r="AJ113" s="43">
        <v>8.0201199375402599E-3</v>
      </c>
      <c r="AK113" s="43">
        <v>0.21750159832666149</v>
      </c>
      <c r="AL113" s="43">
        <v>-1.5136094923201339E-2</v>
      </c>
      <c r="AM113" s="43">
        <v>3.0578741560276072E-2</v>
      </c>
      <c r="AN113" s="43">
        <v>5.5121976347354718E-2</v>
      </c>
      <c r="AO113" s="43">
        <v>-1.1640175544701981E-2</v>
      </c>
      <c r="AP113" s="43">
        <v>6.5601619103073938E-2</v>
      </c>
      <c r="AQ113" s="43">
        <v>6.4942233155258045E-2</v>
      </c>
      <c r="AR113" s="43">
        <v>0.51025798740284412</v>
      </c>
      <c r="AS113" s="43">
        <v>-0.16433684344144589</v>
      </c>
      <c r="AT113" s="43">
        <v>5.6000403727752827E-2</v>
      </c>
      <c r="AU113" s="43">
        <v>3.1385209893991961E-2</v>
      </c>
      <c r="AV113" s="43">
        <v>0.1108701846106934</v>
      </c>
      <c r="AW113" s="43">
        <v>-5.7388834344742727E-2</v>
      </c>
      <c r="AX113" s="43">
        <v>5.8851600231391243E-2</v>
      </c>
      <c r="AY113" s="43">
        <v>5.4445119701414191E-2</v>
      </c>
      <c r="AZ113" s="43">
        <v>3.9313498313737982E-2</v>
      </c>
    </row>
    <row r="114" spans="1:52" ht="16" x14ac:dyDescent="0.2">
      <c r="A114" s="41">
        <v>43586</v>
      </c>
      <c r="B114" s="44">
        <v>-0.1242128529595834</v>
      </c>
      <c r="C114" s="44">
        <v>-4.3112121304646811E-2</v>
      </c>
      <c r="D114" s="44">
        <v>-6.3439951956838825E-2</v>
      </c>
      <c r="E114" s="44">
        <v>7.0691563586506856E-3</v>
      </c>
      <c r="F114" s="44">
        <v>-6.2373622941962359E-2</v>
      </c>
      <c r="G114" s="44">
        <v>-7.8613196747792879E-2</v>
      </c>
      <c r="H114" s="44">
        <v>-0.14065391850733161</v>
      </c>
      <c r="I114" s="44">
        <v>-5.8121046518737278E-2</v>
      </c>
      <c r="J114" s="44">
        <v>-2.159807803777225E-2</v>
      </c>
      <c r="K114" s="44">
        <v>-7.0062571256570783E-2</v>
      </c>
      <c r="L114" s="44">
        <v>-4.2394222443658647E-2</v>
      </c>
      <c r="M114" s="44">
        <v>-3.5993182270180779E-2</v>
      </c>
      <c r="N114" s="44">
        <v>5.4501687225538831E-5</v>
      </c>
      <c r="O114" s="44">
        <v>-0.1450386692729734</v>
      </c>
      <c r="P114" s="44">
        <v>-0.14752730984032189</v>
      </c>
      <c r="Q114" s="44">
        <v>-3.5605134978388131E-3</v>
      </c>
      <c r="R114" s="44">
        <v>-0.15818988547446869</v>
      </c>
      <c r="S114" s="44">
        <v>-0.1001564875878492</v>
      </c>
      <c r="T114" s="44">
        <v>-7.1779609909072173E-2</v>
      </c>
      <c r="U114" s="44">
        <v>-7.7116747494263116E-2</v>
      </c>
      <c r="V114" s="44">
        <v>-0.1097877447980645</v>
      </c>
      <c r="W114" s="44">
        <v>-6.7992294424374933E-2</v>
      </c>
      <c r="X114" s="44">
        <v>2.382804855394172E-2</v>
      </c>
      <c r="Y114" s="44">
        <v>-6.4820249822381992E-2</v>
      </c>
      <c r="Z114" s="44">
        <v>-8.6945045410339872E-2</v>
      </c>
      <c r="AA114" s="44">
        <v>1.4269808659594929E-3</v>
      </c>
      <c r="AB114" s="44">
        <v>-6.2350591290777017E-2</v>
      </c>
      <c r="AC114" s="44">
        <v>9.4203384921143218E-3</v>
      </c>
      <c r="AD114" s="44">
        <v>4.2450024184185857E-2</v>
      </c>
      <c r="AE114" s="44">
        <v>-0.15668405045828421</v>
      </c>
      <c r="AF114" s="44">
        <v>-4.9481061861149978E-2</v>
      </c>
      <c r="AG114" s="44">
        <v>-0.22467910724358919</v>
      </c>
      <c r="AH114" s="44">
        <v>2.5834455143656902E-2</v>
      </c>
      <c r="AI114" s="44">
        <v>-0.1873714319162598</v>
      </c>
      <c r="AJ114" s="44">
        <v>-0.25074820236404199</v>
      </c>
      <c r="AK114" s="44">
        <v>-0.14583338714307989</v>
      </c>
      <c r="AL114" s="44">
        <v>-6.3447897641024098E-2</v>
      </c>
      <c r="AM114" s="44">
        <v>-3.3527614531812078E-2</v>
      </c>
      <c r="AN114" s="44">
        <v>-0.1544977512368291</v>
      </c>
      <c r="AO114" s="44">
        <v>-0.1316916997661762</v>
      </c>
      <c r="AP114" s="44">
        <v>-3.9128788201152287E-2</v>
      </c>
      <c r="AQ114" s="44">
        <v>-0.25060964256634749</v>
      </c>
      <c r="AR114" s="44">
        <v>-0.22419621146167931</v>
      </c>
      <c r="AS114" s="44">
        <v>-0.1207088206946182</v>
      </c>
      <c r="AT114" s="44">
        <v>-7.5362674502459481E-2</v>
      </c>
      <c r="AU114" s="44">
        <v>-7.9611028662157413E-2</v>
      </c>
      <c r="AV114" s="44">
        <v>-0.10890020140962831</v>
      </c>
      <c r="AW114" s="44">
        <v>3.7456309102057883E-2</v>
      </c>
      <c r="AX114" s="44">
        <v>-5.3021755861592863E-2</v>
      </c>
      <c r="AY114" s="44">
        <v>-8.3737024820533801E-3</v>
      </c>
      <c r="AZ114" s="44">
        <v>-6.5777731366835401E-2</v>
      </c>
    </row>
    <row r="115" spans="1:52" ht="16" x14ac:dyDescent="0.2">
      <c r="A115" s="39">
        <v>43617</v>
      </c>
      <c r="B115" s="43">
        <v>0.13051889791209839</v>
      </c>
      <c r="C115" s="43">
        <v>0.1046895523975577</v>
      </c>
      <c r="D115" s="43">
        <v>8.7670729180877371E-2</v>
      </c>
      <c r="E115" s="43">
        <v>9.608072475457452E-2</v>
      </c>
      <c r="F115" s="43">
        <v>0.10545927060662889</v>
      </c>
      <c r="G115" s="43">
        <v>6.679174655008091E-2</v>
      </c>
      <c r="H115" s="43">
        <v>0.13755107760449259</v>
      </c>
      <c r="I115" s="43">
        <v>3.1219663543367911E-2</v>
      </c>
      <c r="J115" s="43">
        <v>0.1030133542909417</v>
      </c>
      <c r="K115" s="43">
        <v>5.1893517568762038E-2</v>
      </c>
      <c r="L115" s="43">
        <v>9.3016882353276209E-2</v>
      </c>
      <c r="M115" s="43">
        <v>5.7558340460008413E-2</v>
      </c>
      <c r="N115" s="43">
        <v>7.5005268656749724E-2</v>
      </c>
      <c r="O115" s="43">
        <v>0.10756969830325749</v>
      </c>
      <c r="P115" s="43">
        <v>0.137762689163617</v>
      </c>
      <c r="Q115" s="43">
        <v>9.0862719386470392E-2</v>
      </c>
      <c r="R115" s="43">
        <v>0.10258936147721889</v>
      </c>
      <c r="S115" s="43">
        <v>0.13058076860830739</v>
      </c>
      <c r="T115" s="43">
        <v>0.1133585073833325</v>
      </c>
      <c r="U115" s="43">
        <v>-2.1418989057183421E-2</v>
      </c>
      <c r="V115" s="43">
        <v>0.12115733031343121</v>
      </c>
      <c r="W115" s="43">
        <v>0.1031273835732036</v>
      </c>
      <c r="X115" s="43">
        <v>8.0503650669776938E-2</v>
      </c>
      <c r="Y115" s="43">
        <v>6.1990442660578182E-2</v>
      </c>
      <c r="Z115" s="43">
        <v>5.5115004683179418E-2</v>
      </c>
      <c r="AA115" s="43">
        <v>4.4524820640901241E-2</v>
      </c>
      <c r="AB115" s="43">
        <v>3.565181249078142E-2</v>
      </c>
      <c r="AC115" s="43">
        <v>4.7359517910351423E-2</v>
      </c>
      <c r="AD115" s="43">
        <v>5.1955461658395263E-2</v>
      </c>
      <c r="AE115" s="43">
        <v>7.667767301443229E-2</v>
      </c>
      <c r="AF115" s="43">
        <v>8.311820570790962E-2</v>
      </c>
      <c r="AG115" s="43">
        <v>0.18337950869574349</v>
      </c>
      <c r="AH115" s="43">
        <v>3.3550387888628741E-2</v>
      </c>
      <c r="AI115" s="43">
        <v>4.2229611618666667E-2</v>
      </c>
      <c r="AJ115" s="43">
        <v>0.21238749754596831</v>
      </c>
      <c r="AK115" s="43">
        <v>0.2432926746296924</v>
      </c>
      <c r="AL115" s="43">
        <v>8.1578438221662219E-2</v>
      </c>
      <c r="AM115" s="43">
        <v>6.5494153897939222E-2</v>
      </c>
      <c r="AN115" s="43">
        <v>0.1161369533228733</v>
      </c>
      <c r="AO115" s="43">
        <v>1.1097429888765831E-2</v>
      </c>
      <c r="AP115" s="43">
        <v>9.4640354254056813E-2</v>
      </c>
      <c r="AQ115" s="43">
        <v>-2.4341863503384631E-2</v>
      </c>
      <c r="AR115" s="43">
        <v>0.14883808962094419</v>
      </c>
      <c r="AS115" s="43">
        <v>3.7385904685903533E-2</v>
      </c>
      <c r="AT115" s="43">
        <v>9.2597335111415768E-2</v>
      </c>
      <c r="AU115" s="43">
        <v>5.1501359881477297E-2</v>
      </c>
      <c r="AV115" s="43">
        <v>0.10018258990007919</v>
      </c>
      <c r="AW115" s="43">
        <v>1.360864242395321E-2</v>
      </c>
      <c r="AX115" s="43">
        <v>1.3970569294178279E-2</v>
      </c>
      <c r="AY115" s="43">
        <v>8.9215415882516025E-2</v>
      </c>
      <c r="AZ115" s="43">
        <v>6.8930163998240701E-2</v>
      </c>
    </row>
    <row r="116" spans="1:52" ht="16" x14ac:dyDescent="0.2">
      <c r="A116" s="41">
        <v>43647</v>
      </c>
      <c r="B116" s="44">
        <v>7.6394588951159692E-2</v>
      </c>
      <c r="C116" s="44">
        <v>3.9550481020343087E-2</v>
      </c>
      <c r="D116" s="44">
        <v>1.428810976509709E-2</v>
      </c>
      <c r="E116" s="44">
        <v>7.5250161698381612E-2</v>
      </c>
      <c r="F116" s="44">
        <v>1.248106166766139E-2</v>
      </c>
      <c r="G116" s="44">
        <v>-1.4179183493694739E-2</v>
      </c>
      <c r="H116" s="44">
        <v>-2.646437458875717E-2</v>
      </c>
      <c r="I116" s="44">
        <v>2.6095149625737109E-2</v>
      </c>
      <c r="J116" s="44">
        <v>4.3025967283062183E-2</v>
      </c>
      <c r="K116" s="44">
        <v>1.8629567861446979E-2</v>
      </c>
      <c r="L116" s="44">
        <v>-1.068762699607884E-2</v>
      </c>
      <c r="M116" s="44">
        <v>3.047578891457214E-2</v>
      </c>
      <c r="N116" s="44">
        <v>2.1728122182415269E-2</v>
      </c>
      <c r="O116" s="44">
        <v>-2.7578247346715431E-2</v>
      </c>
      <c r="P116" s="44">
        <v>-7.5466923991743817E-2</v>
      </c>
      <c r="Q116" s="44">
        <v>-4.6794748499089378E-3</v>
      </c>
      <c r="R116" s="44">
        <v>7.4846961570023129E-3</v>
      </c>
      <c r="S116" s="44">
        <v>2.8373841701173189E-2</v>
      </c>
      <c r="T116" s="44">
        <v>-4.7619051204654816E-3</v>
      </c>
      <c r="U116" s="44">
        <v>0.1250462258344425</v>
      </c>
      <c r="V116" s="44">
        <v>7.5904406370683297E-2</v>
      </c>
      <c r="W116" s="44">
        <v>2.7504092985899838E-2</v>
      </c>
      <c r="X116" s="44">
        <v>-4.7082057389824522E-4</v>
      </c>
      <c r="Y116" s="44">
        <v>-6.5049268728778586E-2</v>
      </c>
      <c r="Z116" s="44">
        <v>4.4912659489106048E-2</v>
      </c>
      <c r="AA116" s="44">
        <v>3.3582076420381579E-2</v>
      </c>
      <c r="AB116" s="44">
        <v>0.10959699497833</v>
      </c>
      <c r="AC116" s="44">
        <v>1.473573381486371E-2</v>
      </c>
      <c r="AD116" s="44">
        <v>5.2471043447887222E-2</v>
      </c>
      <c r="AE116" s="44">
        <v>2.5051337868490679E-2</v>
      </c>
      <c r="AF116" s="44">
        <v>1.724379756367966E-2</v>
      </c>
      <c r="AG116" s="44">
        <v>0.16325450686300999</v>
      </c>
      <c r="AH116" s="44">
        <v>1.1276052629253909E-2</v>
      </c>
      <c r="AI116" s="44">
        <v>-4.4621055348263772E-2</v>
      </c>
      <c r="AJ116" s="44">
        <v>2.7339462980391801E-2</v>
      </c>
      <c r="AK116" s="44">
        <v>-0.24227561197923489</v>
      </c>
      <c r="AL116" s="44">
        <v>1.8456562279893781E-2</v>
      </c>
      <c r="AM116" s="44">
        <v>8.3487881181422363E-2</v>
      </c>
      <c r="AN116" s="44">
        <v>2.982158998235596E-2</v>
      </c>
      <c r="AO116" s="44">
        <v>0.17439028517537669</v>
      </c>
      <c r="AP116" s="44">
        <v>6.3671024563232148E-3</v>
      </c>
      <c r="AQ116" s="44">
        <v>0.10095708933849459</v>
      </c>
      <c r="AR116" s="44">
        <v>-3.8254690111116152E-2</v>
      </c>
      <c r="AS116" s="44">
        <v>-2.6326058857519149E-2</v>
      </c>
      <c r="AT116" s="44">
        <v>0.1194658463232641</v>
      </c>
      <c r="AU116" s="44">
        <v>3.1770089203351448E-2</v>
      </c>
      <c r="AV116" s="44">
        <v>9.5808789240467984E-2</v>
      </c>
      <c r="AW116" s="44">
        <v>2.049122027399175E-2</v>
      </c>
      <c r="AX116" s="44">
        <v>6.410019052687943E-2</v>
      </c>
      <c r="AY116" s="44">
        <v>-9.9566400690642709E-4</v>
      </c>
      <c r="AZ116" s="44">
        <v>1.312815216695795E-2</v>
      </c>
    </row>
    <row r="117" spans="1:52" ht="16" x14ac:dyDescent="0.2">
      <c r="A117" s="39">
        <v>43678</v>
      </c>
      <c r="B117" s="43">
        <v>-1.6461141214686E-2</v>
      </c>
      <c r="C117" s="43">
        <v>-2.0436784798430141E-2</v>
      </c>
      <c r="D117" s="43">
        <v>-4.801571401088367E-2</v>
      </c>
      <c r="E117" s="43">
        <v>9.169881318841111E-2</v>
      </c>
      <c r="F117" s="43">
        <v>0.12604765876119381</v>
      </c>
      <c r="G117" s="43">
        <v>-4.8473822697145057E-2</v>
      </c>
      <c r="H117" s="43">
        <v>-9.6225489122595653E-2</v>
      </c>
      <c r="I117" s="43">
        <v>2.5249201676594609E-2</v>
      </c>
      <c r="J117" s="43">
        <v>7.1770375846806678E-2</v>
      </c>
      <c r="K117" s="43">
        <v>-0.1550539475723782</v>
      </c>
      <c r="L117" s="43">
        <v>-3.3952096037248913E-2</v>
      </c>
      <c r="M117" s="43">
        <v>-4.0207033781538233E-2</v>
      </c>
      <c r="N117" s="43">
        <v>2.2703672824772921E-2</v>
      </c>
      <c r="O117" s="43">
        <v>-7.3590689333260739E-2</v>
      </c>
      <c r="P117" s="43">
        <v>-0.13581858395930729</v>
      </c>
      <c r="Q117" s="43">
        <v>-6.6760697965835614E-2</v>
      </c>
      <c r="R117" s="43">
        <v>-0.12261454023642381</v>
      </c>
      <c r="S117" s="43">
        <v>2.866480767503576E-2</v>
      </c>
      <c r="T117" s="43">
        <v>-0.21052618040142329</v>
      </c>
      <c r="U117" s="43">
        <v>-2.2713863411572222E-2</v>
      </c>
      <c r="V117" s="43">
        <v>-6.787024506260031E-2</v>
      </c>
      <c r="W117" s="43">
        <v>6.6544983155850002E-2</v>
      </c>
      <c r="X117" s="43">
        <v>-3.650492865006616E-2</v>
      </c>
      <c r="Y117" s="43">
        <v>-6.8971528339167856E-3</v>
      </c>
      <c r="Z117" s="43">
        <v>-5.2930755157383318E-2</v>
      </c>
      <c r="AA117" s="43">
        <v>4.5791484798327842E-2</v>
      </c>
      <c r="AB117" s="43">
        <v>-2.8971336003402959E-2</v>
      </c>
      <c r="AC117" s="43">
        <v>3.9875324867922217E-2</v>
      </c>
      <c r="AD117" s="43">
        <v>5.8367434946589247E-2</v>
      </c>
      <c r="AE117" s="43">
        <v>-6.8896031468499985E-2</v>
      </c>
      <c r="AF117" s="43">
        <v>1.503680612889857E-2</v>
      </c>
      <c r="AG117" s="43">
        <v>8.4651364968184595E-3</v>
      </c>
      <c r="AH117" s="43">
        <v>6.3422718164651393E-2</v>
      </c>
      <c r="AI117" s="43">
        <v>-0.1783208907005904</v>
      </c>
      <c r="AJ117" s="43">
        <v>-6.1886833194711999E-3</v>
      </c>
      <c r="AK117" s="43">
        <v>-0.16116503571896151</v>
      </c>
      <c r="AL117" s="43">
        <v>3.0036611210814131E-2</v>
      </c>
      <c r="AM117" s="43">
        <v>1.8552941595259439E-2</v>
      </c>
      <c r="AN117" s="43">
        <v>-4.7891365231790828E-2</v>
      </c>
      <c r="AO117" s="43">
        <v>0.12149533358150651</v>
      </c>
      <c r="AP117" s="43">
        <v>3.7340452670090007E-2</v>
      </c>
      <c r="AQ117" s="43">
        <v>7.6679848436201681E-2</v>
      </c>
      <c r="AR117" s="43">
        <v>6.3012527693530274E-2</v>
      </c>
      <c r="AS117" s="43">
        <v>-4.8267581062480747E-2</v>
      </c>
      <c r="AT117" s="43">
        <v>2.8979871409315461E-2</v>
      </c>
      <c r="AU117" s="43">
        <v>1.186135716469372E-2</v>
      </c>
      <c r="AV117" s="43">
        <v>-1.0079391399376299E-2</v>
      </c>
      <c r="AW117" s="43">
        <v>-6.0278589006612433E-2</v>
      </c>
      <c r="AX117" s="43">
        <v>-9.4426736876639716E-2</v>
      </c>
      <c r="AY117" s="43">
        <v>4.0246876451976783E-2</v>
      </c>
      <c r="AZ117" s="43">
        <v>-1.809162724052393E-2</v>
      </c>
    </row>
    <row r="118" spans="1:52" ht="16" x14ac:dyDescent="0.2">
      <c r="A118" s="41">
        <v>43709</v>
      </c>
      <c r="B118" s="44">
        <v>7.2961798405352551E-2</v>
      </c>
      <c r="C118" s="44">
        <v>-1.9338926394894981E-2</v>
      </c>
      <c r="D118" s="44">
        <v>-2.9032404773489229E-2</v>
      </c>
      <c r="E118" s="44">
        <v>-9.8886158737013563E-2</v>
      </c>
      <c r="F118" s="44">
        <v>-7.2428587011955536E-2</v>
      </c>
      <c r="G118" s="44">
        <v>-2.2732743159706411E-2</v>
      </c>
      <c r="H118" s="44">
        <v>6.142847010802388E-2</v>
      </c>
      <c r="I118" s="44">
        <v>1.852687817747389E-2</v>
      </c>
      <c r="J118" s="44">
        <v>-2.256091458336518E-2</v>
      </c>
      <c r="K118" s="44">
        <v>5.5543760358524263E-2</v>
      </c>
      <c r="L118" s="44">
        <v>7.4751048903460848E-3</v>
      </c>
      <c r="M118" s="44">
        <v>-5.0560887962550212E-2</v>
      </c>
      <c r="N118" s="44">
        <v>-3.7860170166661322E-2</v>
      </c>
      <c r="O118" s="44">
        <v>0.12200013936851151</v>
      </c>
      <c r="P118" s="44">
        <v>4.0430400495594648E-4</v>
      </c>
      <c r="Q118" s="44">
        <v>-0.1093199009869881</v>
      </c>
      <c r="R118" s="44">
        <v>9.0810244926508688E-2</v>
      </c>
      <c r="S118" s="44">
        <v>-4.4648895674191717E-2</v>
      </c>
      <c r="T118" s="44">
        <v>8.4807651652178961E-2</v>
      </c>
      <c r="U118" s="44">
        <v>2.571113715828233E-2</v>
      </c>
      <c r="V118" s="44">
        <v>1.6281760585394212E-2</v>
      </c>
      <c r="W118" s="44">
        <v>2.4250181719407848E-2</v>
      </c>
      <c r="X118" s="44">
        <v>-9.2764560818872188E-2</v>
      </c>
      <c r="Y118" s="44">
        <v>7.9465540225061027E-3</v>
      </c>
      <c r="Z118" s="44">
        <v>7.1272377804773024E-2</v>
      </c>
      <c r="AA118" s="44">
        <v>-3.6697404920262851E-3</v>
      </c>
      <c r="AB118" s="44">
        <v>5.2005159294187482E-2</v>
      </c>
      <c r="AC118" s="44">
        <v>-1.495616948284151E-2</v>
      </c>
      <c r="AD118" s="44">
        <v>1.1843431488689051E-2</v>
      </c>
      <c r="AE118" s="44">
        <v>2.8440426990389071E-2</v>
      </c>
      <c r="AF118" s="44">
        <v>8.4868471467023365E-3</v>
      </c>
      <c r="AG118" s="44">
        <v>-5.345697327838328E-2</v>
      </c>
      <c r="AH118" s="44">
        <v>6.3493197628636588E-2</v>
      </c>
      <c r="AI118" s="44">
        <v>9.2592332653555598E-2</v>
      </c>
      <c r="AJ118" s="44">
        <v>3.9161591817197028E-2</v>
      </c>
      <c r="AK118" s="44">
        <v>4.5524702997782551E-2</v>
      </c>
      <c r="AL118" s="44">
        <v>3.3810437205449961E-2</v>
      </c>
      <c r="AM118" s="44">
        <v>3.4517147852624497E-2</v>
      </c>
      <c r="AN118" s="44">
        <v>8.952161395426228E-2</v>
      </c>
      <c r="AO118" s="44">
        <v>7.4074002123338811E-3</v>
      </c>
      <c r="AP118" s="44">
        <v>2.5485047883908148E-2</v>
      </c>
      <c r="AQ118" s="44">
        <v>-6.8893792530435483E-2</v>
      </c>
      <c r="AR118" s="44">
        <v>-1.13712370715715E-2</v>
      </c>
      <c r="AS118" s="44">
        <v>-4.3612955438927632E-2</v>
      </c>
      <c r="AT118" s="44">
        <v>4.3891979803904801E-2</v>
      </c>
      <c r="AU118" s="44">
        <v>1.4007689769062189E-2</v>
      </c>
      <c r="AV118" s="44">
        <v>4.436363761727935E-2</v>
      </c>
      <c r="AW118" s="44">
        <v>-6.6902586901987027E-2</v>
      </c>
      <c r="AX118" s="44">
        <v>1.233620339553543E-4</v>
      </c>
      <c r="AY118" s="44">
        <v>3.8683785911383772E-2</v>
      </c>
      <c r="AZ118" s="44">
        <v>1.71811779310207E-2</v>
      </c>
    </row>
    <row r="119" spans="1:52" ht="16" x14ac:dyDescent="0.2">
      <c r="A119" s="39">
        <v>43739</v>
      </c>
      <c r="B119" s="43">
        <v>0.1106840795578385</v>
      </c>
      <c r="C119" s="43">
        <v>3.2892905481234358E-3</v>
      </c>
      <c r="D119" s="43">
        <v>6.0814214507918241E-3</v>
      </c>
      <c r="E119" s="43">
        <v>6.21846667644399E-2</v>
      </c>
      <c r="F119" s="43">
        <v>0.1020105843201002</v>
      </c>
      <c r="G119" s="43">
        <v>2.347470126911189E-2</v>
      </c>
      <c r="H119" s="43">
        <v>9.9541996766978835E-2</v>
      </c>
      <c r="I119" s="43">
        <v>-1.1144426254555691E-3</v>
      </c>
      <c r="J119" s="43">
        <v>3.3478783230904918E-2</v>
      </c>
      <c r="K119" s="43">
        <v>-3.1170956090530329E-2</v>
      </c>
      <c r="L119" s="43">
        <v>-2.0741871725239221E-2</v>
      </c>
      <c r="M119" s="43">
        <v>-3.0694711115157869E-3</v>
      </c>
      <c r="N119" s="43">
        <v>-3.0145404997398369E-2</v>
      </c>
      <c r="O119" s="43">
        <v>4.9207479271150101E-2</v>
      </c>
      <c r="P119" s="43">
        <v>-6.225465493789184E-2</v>
      </c>
      <c r="Q119" s="43">
        <v>-0.12613124759154079</v>
      </c>
      <c r="R119" s="43">
        <v>2.6064689572961489E-2</v>
      </c>
      <c r="S119" s="43">
        <v>-2.6845552776888049E-2</v>
      </c>
      <c r="T119" s="43">
        <v>0.11633129600270831</v>
      </c>
      <c r="U119" s="43">
        <v>3.084020830466172E-2</v>
      </c>
      <c r="V119" s="43">
        <v>2.9677109780803072E-2</v>
      </c>
      <c r="W119" s="43">
        <v>1.1033590824180539E-2</v>
      </c>
      <c r="X119" s="43">
        <v>0.130540137057755</v>
      </c>
      <c r="Y119" s="43">
        <v>2.0559752837522541E-2</v>
      </c>
      <c r="Z119" s="43">
        <v>6.993544597221768E-2</v>
      </c>
      <c r="AA119" s="43">
        <v>-1.835178760084544E-4</v>
      </c>
      <c r="AB119" s="43">
        <v>1.6801403139151461E-2</v>
      </c>
      <c r="AC119" s="43">
        <v>-8.3880938578535735E-2</v>
      </c>
      <c r="AD119" s="43">
        <v>2.577776700456003E-3</v>
      </c>
      <c r="AE119" s="43">
        <v>8.733909330265277E-2</v>
      </c>
      <c r="AF119" s="43">
        <v>3.1216296974139409E-2</v>
      </c>
      <c r="AG119" s="43">
        <v>0.1096850539124665</v>
      </c>
      <c r="AH119" s="43">
        <v>2.2962384145192919E-2</v>
      </c>
      <c r="AI119" s="43">
        <v>7.4213670811026367E-2</v>
      </c>
      <c r="AJ119" s="43">
        <v>0.15482312125086911</v>
      </c>
      <c r="AK119" s="43">
        <v>4.501842421333313E-2</v>
      </c>
      <c r="AL119" s="43">
        <v>-5.2381663533301537E-2</v>
      </c>
      <c r="AM119" s="43">
        <v>7.4397162263022398E-3</v>
      </c>
      <c r="AN119" s="43">
        <v>1.594585666315251E-2</v>
      </c>
      <c r="AO119" s="43">
        <v>8.4558829652293666E-2</v>
      </c>
      <c r="AP119" s="43">
        <v>2.98052193441809E-2</v>
      </c>
      <c r="AQ119" s="43">
        <v>2.6810399492707582E-2</v>
      </c>
      <c r="AR119" s="43">
        <v>5.4535687721779302E-2</v>
      </c>
      <c r="AS119" s="43">
        <v>0.1041093666347321</v>
      </c>
      <c r="AT119" s="43">
        <v>4.0827747231521487E-2</v>
      </c>
      <c r="AU119" s="43">
        <v>3.4266179656587958E-2</v>
      </c>
      <c r="AV119" s="43">
        <v>-8.0165208538319654E-2</v>
      </c>
      <c r="AW119" s="43">
        <v>0.1628013418741365</v>
      </c>
      <c r="AX119" s="43">
        <v>2.1484203808923349E-2</v>
      </c>
      <c r="AY119" s="43">
        <v>-1.1964857487322679E-2</v>
      </c>
      <c r="AZ119" s="43">
        <v>2.0431770513684059E-2</v>
      </c>
    </row>
    <row r="120" spans="1:52" ht="16" x14ac:dyDescent="0.2">
      <c r="A120" s="41">
        <v>43770</v>
      </c>
      <c r="B120" s="44">
        <v>7.7554397510568363E-2</v>
      </c>
      <c r="C120" s="44">
        <v>2.2006925092112661E-2</v>
      </c>
      <c r="D120" s="44">
        <v>0.1136977186207411</v>
      </c>
      <c r="E120" s="44">
        <v>0.1068756691348722</v>
      </c>
      <c r="F120" s="44">
        <v>0.1079933208776154</v>
      </c>
      <c r="G120" s="44">
        <v>1.358730122740393E-2</v>
      </c>
      <c r="H120" s="44">
        <v>5.029023133630095E-2</v>
      </c>
      <c r="I120" s="44">
        <v>-1.4948508759901721E-2</v>
      </c>
      <c r="J120" s="44">
        <v>9.0872704076250255E-3</v>
      </c>
      <c r="K120" s="44">
        <v>-4.6306365532276073E-2</v>
      </c>
      <c r="L120" s="44">
        <v>1.846166432039742E-2</v>
      </c>
      <c r="M120" s="44">
        <v>0.1667179596884982</v>
      </c>
      <c r="N120" s="44">
        <v>-2.8114862573019761E-2</v>
      </c>
      <c r="O120" s="44">
        <v>6.0090259063670493E-2</v>
      </c>
      <c r="P120" s="44">
        <v>2.2940522884764562E-2</v>
      </c>
      <c r="Q120" s="44">
        <v>7.6375363499605831E-2</v>
      </c>
      <c r="R120" s="44">
        <v>1.131319310173118E-2</v>
      </c>
      <c r="S120" s="44">
        <v>2.7941237309217382E-2</v>
      </c>
      <c r="T120" s="44">
        <v>0.12925821294117371</v>
      </c>
      <c r="U120" s="44">
        <v>3.5978673530504317E-2</v>
      </c>
      <c r="V120" s="44">
        <v>4.3200079570059113E-2</v>
      </c>
      <c r="W120" s="44">
        <v>-5.997952923425165E-2</v>
      </c>
      <c r="X120" s="44">
        <v>0.1220210404741571</v>
      </c>
      <c r="Y120" s="44">
        <v>4.8489633811361843E-2</v>
      </c>
      <c r="Z120" s="44">
        <v>5.4754930120989087E-2</v>
      </c>
      <c r="AA120" s="44">
        <v>-1.1595315082940981E-2</v>
      </c>
      <c r="AB120" s="44">
        <v>-4.1029213357333671E-2</v>
      </c>
      <c r="AC120" s="44">
        <v>-4.9496556522705681E-3</v>
      </c>
      <c r="AD120" s="44">
        <v>2.2865023624058178E-2</v>
      </c>
      <c r="AE120" s="44">
        <v>7.4484685101363857E-2</v>
      </c>
      <c r="AF120" s="44">
        <v>5.9462417620975927E-2</v>
      </c>
      <c r="AG120" s="44">
        <v>-8.4113298243349011E-4</v>
      </c>
      <c r="AH120" s="44">
        <v>-1.371659659368896E-2</v>
      </c>
      <c r="AI120" s="44">
        <v>8.428772114977745E-2</v>
      </c>
      <c r="AJ120" s="44">
        <v>7.8996560401250582E-2</v>
      </c>
      <c r="AK120" s="44">
        <v>-5.2966102265677002E-2</v>
      </c>
      <c r="AL120" s="44">
        <v>3.0980453488934408E-2</v>
      </c>
      <c r="AM120" s="44">
        <v>-1.967724130626947E-2</v>
      </c>
      <c r="AN120" s="44">
        <v>8.8191281247375297E-2</v>
      </c>
      <c r="AO120" s="44">
        <v>-3.3898272208872089E-3</v>
      </c>
      <c r="AP120" s="44">
        <v>4.3185985117869093E-2</v>
      </c>
      <c r="AQ120" s="44">
        <v>6.9627554236510347E-2</v>
      </c>
      <c r="AR120" s="44">
        <v>3.8662688195650219E-2</v>
      </c>
      <c r="AS120" s="44">
        <v>0.20478019399422151</v>
      </c>
      <c r="AT120" s="44">
        <v>2.0844052254421101E-2</v>
      </c>
      <c r="AU120" s="44">
        <v>6.4557025141500857E-2</v>
      </c>
      <c r="AV120" s="44">
        <v>1.88150351453189E-2</v>
      </c>
      <c r="AW120" s="44">
        <v>0.1075188662691635</v>
      </c>
      <c r="AX120" s="44">
        <v>6.9465939341362137E-2</v>
      </c>
      <c r="AY120" s="44">
        <v>1.560607147197457E-2</v>
      </c>
      <c r="AZ120" s="44">
        <v>3.4047037714499913E-2</v>
      </c>
    </row>
    <row r="121" spans="1:52" ht="16" x14ac:dyDescent="0.2">
      <c r="A121" s="39">
        <v>43800</v>
      </c>
      <c r="B121" s="43">
        <v>9.8783793531535657E-2</v>
      </c>
      <c r="C121" s="43">
        <v>1.6500915700823789E-2</v>
      </c>
      <c r="D121" s="43">
        <v>6.5518685940864296E-2</v>
      </c>
      <c r="E121" s="43">
        <v>4.3021158412375422E-2</v>
      </c>
      <c r="F121" s="43">
        <v>2.705370915541061E-2</v>
      </c>
      <c r="G121" s="43">
        <v>2.612169426447308E-2</v>
      </c>
      <c r="H121" s="43">
        <v>2.0382888830367211E-2</v>
      </c>
      <c r="I121" s="43">
        <v>1.8573096069595559E-2</v>
      </c>
      <c r="J121" s="43">
        <v>-1.9645783218488751E-2</v>
      </c>
      <c r="K121" s="43">
        <v>5.8486436395565278E-2</v>
      </c>
      <c r="L121" s="43">
        <v>2.885656470484466E-2</v>
      </c>
      <c r="M121" s="43">
        <v>-4.0133683899493899E-2</v>
      </c>
      <c r="N121" s="43">
        <v>3.6483045483745702E-2</v>
      </c>
      <c r="O121" s="43">
        <v>3.2493811577040572E-2</v>
      </c>
      <c r="P121" s="43">
        <v>0.18138231627778861</v>
      </c>
      <c r="Q121" s="43">
        <v>5.9531072064176849E-2</v>
      </c>
      <c r="R121" s="43">
        <v>-4.1589544562186109E-2</v>
      </c>
      <c r="S121" s="43">
        <v>-2.9657593844573889E-2</v>
      </c>
      <c r="T121" s="43">
        <v>-8.8624827775947157E-3</v>
      </c>
      <c r="U121" s="43">
        <v>2.706863101196855E-2</v>
      </c>
      <c r="V121" s="43">
        <v>3.8762061040790392E-2</v>
      </c>
      <c r="W121" s="43">
        <v>-3.3256059980355519E-3</v>
      </c>
      <c r="X121" s="43">
        <v>-7.264235026827659E-2</v>
      </c>
      <c r="Y121" s="43">
        <v>6.0949782084988247E-2</v>
      </c>
      <c r="Z121" s="43">
        <v>5.7984231455475273E-2</v>
      </c>
      <c r="AA121" s="43">
        <v>3.6517113042921379E-2</v>
      </c>
      <c r="AB121" s="43">
        <v>6.3954607643386785E-2</v>
      </c>
      <c r="AC121" s="43">
        <v>1.6094226425585889E-2</v>
      </c>
      <c r="AD121" s="43">
        <v>2.3350814692598029E-2</v>
      </c>
      <c r="AE121" s="43">
        <v>3.3144414896512993E-2</v>
      </c>
      <c r="AF121" s="43">
        <v>4.1748791247603778E-2</v>
      </c>
      <c r="AG121" s="43">
        <v>0.13197217576890871</v>
      </c>
      <c r="AH121" s="43">
        <v>3.5668560940323557E-2</v>
      </c>
      <c r="AI121" s="43">
        <v>2.7397316805978681E-2</v>
      </c>
      <c r="AJ121" s="43">
        <v>8.5632645850971079E-2</v>
      </c>
      <c r="AK121" s="43">
        <v>0.1118568245390006</v>
      </c>
      <c r="AL121" s="43">
        <v>6.5024262393464705E-2</v>
      </c>
      <c r="AM121" s="43">
        <v>2.3267332205839871E-2</v>
      </c>
      <c r="AN121" s="43">
        <v>3.5363886568602343E-2</v>
      </c>
      <c r="AO121" s="43">
        <v>0.34013604780178869</v>
      </c>
      <c r="AP121" s="43">
        <v>-2.037781452281107E-2</v>
      </c>
      <c r="AQ121" s="43">
        <v>8.6155781026751033E-3</v>
      </c>
      <c r="AR121" s="43">
        <v>6.4202712843008714E-2</v>
      </c>
      <c r="AS121" s="43">
        <v>1.7560924053350972E-2</v>
      </c>
      <c r="AT121" s="43">
        <v>7.0313554088308194E-4</v>
      </c>
      <c r="AU121" s="43">
        <v>-1.145217796638232E-3</v>
      </c>
      <c r="AV121" s="43">
        <v>6.7215904374533064E-2</v>
      </c>
      <c r="AW121" s="43">
        <v>5.445450707781041E-2</v>
      </c>
      <c r="AX121" s="43">
        <v>2.7274358802921169E-2</v>
      </c>
      <c r="AY121" s="43">
        <v>2.377059049309516E-3</v>
      </c>
      <c r="AZ121" s="43">
        <v>2.8589818905730091E-2</v>
      </c>
    </row>
    <row r="122" spans="1:52" ht="16" x14ac:dyDescent="0.2">
      <c r="A122" s="41">
        <v>43831</v>
      </c>
      <c r="B122" s="44">
        <v>5.401003556241224E-2</v>
      </c>
      <c r="C122" s="44">
        <v>7.4846045188328159E-3</v>
      </c>
      <c r="D122" s="44">
        <v>6.4673652247470903E-2</v>
      </c>
      <c r="E122" s="44">
        <v>-2.9623584104617299E-2</v>
      </c>
      <c r="F122" s="44">
        <v>-0.10378737930774069</v>
      </c>
      <c r="G122" s="44">
        <v>8.7063802786522704E-2</v>
      </c>
      <c r="H122" s="44">
        <v>-0.10433811848813811</v>
      </c>
      <c r="I122" s="44">
        <v>-3.5045697284303401E-2</v>
      </c>
      <c r="J122" s="44">
        <v>3.9466403367197422E-2</v>
      </c>
      <c r="K122" s="44">
        <v>-3.4446642008163719E-2</v>
      </c>
      <c r="L122" s="44">
        <v>-0.1109449875211701</v>
      </c>
      <c r="M122" s="44">
        <v>-4.3697819515998833E-2</v>
      </c>
      <c r="N122" s="44">
        <v>1.6166577507293889E-2</v>
      </c>
      <c r="O122" s="44">
        <v>-6.0713179291776553E-2</v>
      </c>
      <c r="P122" s="44">
        <v>-0.12663695642722739</v>
      </c>
      <c r="Q122" s="44">
        <v>-2.3836552570346999E-2</v>
      </c>
      <c r="R122" s="44">
        <v>-0.1255280480921214</v>
      </c>
      <c r="S122" s="44">
        <v>4.58353276544754E-4</v>
      </c>
      <c r="T122" s="44">
        <v>0.1155915715685452</v>
      </c>
      <c r="U122" s="44">
        <v>6.9725704840642111E-2</v>
      </c>
      <c r="V122" s="44">
        <v>3.4010328166454551E-2</v>
      </c>
      <c r="W122" s="44">
        <v>4.4509809456505289E-2</v>
      </c>
      <c r="X122" s="44">
        <v>-0.16319285444116469</v>
      </c>
      <c r="Y122" s="44">
        <v>2.0566105392693771E-2</v>
      </c>
      <c r="Z122" s="44">
        <v>-4.4406531177058277E-2</v>
      </c>
      <c r="AA122" s="44">
        <v>5.510359640342033E-2</v>
      </c>
      <c r="AB122" s="44">
        <v>4.2087733462474741E-2</v>
      </c>
      <c r="AC122" s="44">
        <v>8.2789196803012555E-2</v>
      </c>
      <c r="AD122" s="44">
        <v>1.7541005978864321E-2</v>
      </c>
      <c r="AE122" s="44">
        <v>2.9009902178831259E-2</v>
      </c>
      <c r="AF122" s="44">
        <v>7.9454922346319456E-2</v>
      </c>
      <c r="AG122" s="44">
        <v>-1.283017885247795E-2</v>
      </c>
      <c r="AH122" s="44">
        <v>0.1075321661096398</v>
      </c>
      <c r="AI122" s="44">
        <v>-0.13550266623382751</v>
      </c>
      <c r="AJ122" s="44">
        <v>4.8022797377675897E-3</v>
      </c>
      <c r="AK122" s="44">
        <v>-0.16767270459992109</v>
      </c>
      <c r="AL122" s="44">
        <v>1.704851556797671E-3</v>
      </c>
      <c r="AM122" s="44">
        <v>3.6861881029846E-3</v>
      </c>
      <c r="AN122" s="44">
        <v>-4.921767422288148E-2</v>
      </c>
      <c r="AO122" s="44">
        <v>-0.18908632313656221</v>
      </c>
      <c r="AP122" s="44">
        <v>4.1956451348799113E-2</v>
      </c>
      <c r="AQ122" s="44">
        <v>-5.4217671254631283E-2</v>
      </c>
      <c r="AR122" s="44">
        <v>-3.3095848152332352E-2</v>
      </c>
      <c r="AS122" s="44">
        <v>-9.9978693392170359E-2</v>
      </c>
      <c r="AT122" s="44">
        <v>-4.5498452972101873E-2</v>
      </c>
      <c r="AU122" s="44">
        <v>-3.308241015746427E-2</v>
      </c>
      <c r="AV122" s="44">
        <v>-5.2758981903700868E-2</v>
      </c>
      <c r="AW122" s="44">
        <v>-7.3236246101131663E-2</v>
      </c>
      <c r="AX122" s="44">
        <v>-7.5782125581500548E-3</v>
      </c>
      <c r="AY122" s="44">
        <v>-3.6604181008882082E-2</v>
      </c>
      <c r="AZ122" s="44">
        <v>-1.628092819048965E-3</v>
      </c>
    </row>
    <row r="123" spans="1:52" ht="16" x14ac:dyDescent="0.2">
      <c r="A123" s="39">
        <v>43862</v>
      </c>
      <c r="B123" s="43">
        <v>-0.11470171720511919</v>
      </c>
      <c r="C123" s="43">
        <v>-0.1160202170410507</v>
      </c>
      <c r="D123" s="43">
        <v>-1.7144213932089869E-2</v>
      </c>
      <c r="E123" s="43">
        <v>-0.19154123803550119</v>
      </c>
      <c r="F123" s="43">
        <v>-6.8975992003547426E-2</v>
      </c>
      <c r="G123" s="43">
        <v>-6.2213720133630579E-2</v>
      </c>
      <c r="H123" s="43">
        <v>-5.4130300052140812E-2</v>
      </c>
      <c r="I123" s="43">
        <v>-6.3903842849451942E-2</v>
      </c>
      <c r="J123" s="43">
        <v>-7.7857935864580896E-2</v>
      </c>
      <c r="K123" s="43">
        <v>-0.13139012513922529</v>
      </c>
      <c r="L123" s="43">
        <v>-0.11862092477865439</v>
      </c>
      <c r="M123" s="43">
        <v>-0.14937452750194691</v>
      </c>
      <c r="N123" s="43">
        <v>-7.9853395960765794E-2</v>
      </c>
      <c r="O123" s="43">
        <v>-9.9009188856124197E-2</v>
      </c>
      <c r="P123" s="43">
        <v>-0.13235513010524541</v>
      </c>
      <c r="Q123" s="43">
        <v>8.0813914418157884E-2</v>
      </c>
      <c r="R123" s="43">
        <v>-1.776945422154097E-2</v>
      </c>
      <c r="S123" s="43">
        <v>-8.9774195477897778E-2</v>
      </c>
      <c r="T123" s="43">
        <v>-0.1261043708879909</v>
      </c>
      <c r="U123" s="43">
        <v>-6.5278431953531113E-2</v>
      </c>
      <c r="V123" s="43">
        <v>-0.15037828824344551</v>
      </c>
      <c r="W123" s="43">
        <v>-4.4980349376897211E-2</v>
      </c>
      <c r="X123" s="43">
        <v>3.2024140920461797E-2</v>
      </c>
      <c r="Y123" s="43">
        <v>-9.0901014485158749E-2</v>
      </c>
      <c r="Z123" s="43">
        <v>-0.1227711799207343</v>
      </c>
      <c r="AA123" s="43">
        <v>-8.4075118316783715E-2</v>
      </c>
      <c r="AB123" s="43">
        <v>-7.1842264596261307E-3</v>
      </c>
      <c r="AC123" s="43">
        <v>-8.6857394331634641E-2</v>
      </c>
      <c r="AD123" s="43">
        <v>-0.12794545165643539</v>
      </c>
      <c r="AE123" s="43">
        <v>-0.1383468769397023</v>
      </c>
      <c r="AF123" s="43">
        <v>-4.5688221915252243E-2</v>
      </c>
      <c r="AG123" s="43">
        <v>-9.9831238247634069E-3</v>
      </c>
      <c r="AH123" s="43">
        <v>-5.2647353159280819E-2</v>
      </c>
      <c r="AI123" s="43">
        <v>-0.12509351905355681</v>
      </c>
      <c r="AJ123" s="43">
        <v>0.14296639298655431</v>
      </c>
      <c r="AK123" s="43">
        <v>-0.1506849241379353</v>
      </c>
      <c r="AL123" s="43">
        <v>-0.1088555735003144</v>
      </c>
      <c r="AM123" s="43">
        <v>-9.1397654474542622E-2</v>
      </c>
      <c r="AN123" s="43">
        <v>-5.183770500652185E-2</v>
      </c>
      <c r="AO123" s="43">
        <v>-2.582159081386259E-2</v>
      </c>
      <c r="AP123" s="43">
        <v>-9.2592762172138077E-2</v>
      </c>
      <c r="AQ123" s="43">
        <v>-4.9673738446088238E-2</v>
      </c>
      <c r="AR123" s="43">
        <v>-8.2170815115977236E-2</v>
      </c>
      <c r="AS123" s="43">
        <v>0.31552932627025321</v>
      </c>
      <c r="AT123" s="43">
        <v>-6.9872710372555491E-2</v>
      </c>
      <c r="AU123" s="43">
        <v>1.6616479985936069E-2</v>
      </c>
      <c r="AV123" s="43">
        <v>-5.3957866685654499E-2</v>
      </c>
      <c r="AW123" s="43">
        <v>-6.4195284336352354E-2</v>
      </c>
      <c r="AX123" s="43">
        <v>-0.10405341755254099</v>
      </c>
      <c r="AY123" s="43">
        <v>-5.9480939908796548E-2</v>
      </c>
      <c r="AZ123" s="43">
        <v>-8.4110483638403122E-2</v>
      </c>
    </row>
    <row r="124" spans="1:52" ht="16" x14ac:dyDescent="0.2">
      <c r="A124" s="41">
        <v>43891</v>
      </c>
      <c r="B124" s="44">
        <v>-6.9761380329426248E-2</v>
      </c>
      <c r="C124" s="44">
        <v>2.4405735780139048E-2</v>
      </c>
      <c r="D124" s="44">
        <v>-7.7885967962201819E-2</v>
      </c>
      <c r="E124" s="44">
        <v>-0.11367508260843071</v>
      </c>
      <c r="F124" s="44">
        <v>1.5020388810657259E-2</v>
      </c>
      <c r="G124" s="44">
        <v>3.5020571318223233E-2</v>
      </c>
      <c r="H124" s="44">
        <v>-6.6001328110045443E-2</v>
      </c>
      <c r="I124" s="44">
        <v>-0.14409447866241271</v>
      </c>
      <c r="J124" s="44">
        <v>1.4192226001738421E-2</v>
      </c>
      <c r="K124" s="44">
        <v>-1.5527061945151081E-2</v>
      </c>
      <c r="L124" s="44">
        <v>-0.22369827703161041</v>
      </c>
      <c r="M124" s="44">
        <v>-0.17892055569604901</v>
      </c>
      <c r="N124" s="44">
        <v>-0.1341765816139836</v>
      </c>
      <c r="O124" s="44">
        <v>-0.25674629965568119</v>
      </c>
      <c r="P124" s="44">
        <v>-0.4321844501953831</v>
      </c>
      <c r="Q124" s="44">
        <v>-7.3695579773445097E-2</v>
      </c>
      <c r="R124" s="44">
        <v>-0.1110462695599045</v>
      </c>
      <c r="S124" s="44">
        <v>-0.171457252362999</v>
      </c>
      <c r="T124" s="44">
        <v>-0.26949610805613411</v>
      </c>
      <c r="U124" s="44">
        <v>-0.13238765845515721</v>
      </c>
      <c r="V124" s="44">
        <v>-0.23001441922384039</v>
      </c>
      <c r="W124" s="44">
        <v>-0.13716864793687891</v>
      </c>
      <c r="X124" s="44">
        <v>-2.890863545032751E-2</v>
      </c>
      <c r="Y124" s="44">
        <v>-2.4910904117972251E-2</v>
      </c>
      <c r="Z124" s="44">
        <v>-0.22461454175593851</v>
      </c>
      <c r="AA124" s="44">
        <v>-0.16548770789529971</v>
      </c>
      <c r="AB124" s="44">
        <v>-7.5229700527250865E-2</v>
      </c>
      <c r="AC124" s="44">
        <v>-0.14842677272528079</v>
      </c>
      <c r="AD124" s="44">
        <v>-9.8595332942213676E-2</v>
      </c>
      <c r="AE124" s="44">
        <v>-0.24494770299298249</v>
      </c>
      <c r="AF124" s="44">
        <v>-2.654159109774357E-2</v>
      </c>
      <c r="AG124" s="44">
        <v>-0.19977157904451709</v>
      </c>
      <c r="AH124" s="44">
        <v>-4.8029531844731799E-2</v>
      </c>
      <c r="AI124" s="44">
        <v>-0.10766300439302889</v>
      </c>
      <c r="AJ124" s="44">
        <v>-2.3956456847613269E-2</v>
      </c>
      <c r="AK124" s="44">
        <v>-0.7210626121573932</v>
      </c>
      <c r="AL124" s="44">
        <v>-0.67311142523946788</v>
      </c>
      <c r="AM124" s="44">
        <v>-2.8526394190144581E-2</v>
      </c>
      <c r="AN124" s="44">
        <v>-0.29788390205225962</v>
      </c>
      <c r="AO124" s="44">
        <v>-0.17590358344853391</v>
      </c>
      <c r="AP124" s="44">
        <v>-3.8445962662823852E-2</v>
      </c>
      <c r="AQ124" s="44">
        <v>-0.17344254818092961</v>
      </c>
      <c r="AR124" s="44">
        <v>-0.12914248528431341</v>
      </c>
      <c r="AS124" s="44">
        <v>9.8342214725957167E-2</v>
      </c>
      <c r="AT124" s="44">
        <v>-0.11075009125614541</v>
      </c>
      <c r="AU124" s="44">
        <v>-0.20050182937246641</v>
      </c>
      <c r="AV124" s="44">
        <v>-0.12449599086692251</v>
      </c>
      <c r="AW124" s="44">
        <v>-1.76489439644173E-2</v>
      </c>
      <c r="AX124" s="44">
        <v>-0.1174520886430276</v>
      </c>
      <c r="AY124" s="44">
        <v>5.9832530553077579E-2</v>
      </c>
      <c r="AZ124" s="44">
        <v>-0.1251192824089282</v>
      </c>
    </row>
    <row r="125" spans="1:52" ht="16" x14ac:dyDescent="0.2">
      <c r="A125" s="39">
        <v>43922</v>
      </c>
      <c r="B125" s="43">
        <v>0.1553738330108996</v>
      </c>
      <c r="C125" s="43">
        <v>0.17194048583803709</v>
      </c>
      <c r="D125" s="43">
        <v>0.11123688254260999</v>
      </c>
      <c r="E125" s="43">
        <v>0.19852068745360721</v>
      </c>
      <c r="F125" s="43">
        <v>0.17999308306378081</v>
      </c>
      <c r="G125" s="43">
        <v>0.26890011766607169</v>
      </c>
      <c r="H125" s="43">
        <v>1.2137721886588791E-2</v>
      </c>
      <c r="I125" s="43">
        <v>9.4531665523206243E-2</v>
      </c>
      <c r="J125" s="43">
        <v>6.5100865337816005E-2</v>
      </c>
      <c r="K125" s="43">
        <v>8.8318841975483009E-2</v>
      </c>
      <c r="L125" s="43">
        <v>0.26966564839604912</v>
      </c>
      <c r="M125" s="43">
        <v>0.11956522624549761</v>
      </c>
      <c r="N125" s="43">
        <v>0.24173772851590611</v>
      </c>
      <c r="O125" s="43">
        <v>0.19685236316447591</v>
      </c>
      <c r="P125" s="43">
        <v>0.33451148624373878</v>
      </c>
      <c r="Q125" s="43">
        <v>0.43437873100169377</v>
      </c>
      <c r="R125" s="43">
        <v>0.30601142355719269</v>
      </c>
      <c r="S125" s="43">
        <v>-4.6262397768213059E-3</v>
      </c>
      <c r="T125" s="43">
        <v>-0.14357674467274401</v>
      </c>
      <c r="U125" s="43">
        <v>0.1589998484723347</v>
      </c>
      <c r="V125" s="43">
        <v>0.18649323491978251</v>
      </c>
      <c r="W125" s="43">
        <v>0.1773872076189951</v>
      </c>
      <c r="X125" s="43">
        <v>0.33360643432037601</v>
      </c>
      <c r="Y125" s="43">
        <v>0.1442078982333381</v>
      </c>
      <c r="Z125" s="43">
        <v>7.4698274845734103E-2</v>
      </c>
      <c r="AA125" s="43">
        <v>3.7062249325644503E-2</v>
      </c>
      <c r="AB125" s="43">
        <v>-1.7252658400543911E-2</v>
      </c>
      <c r="AC125" s="43">
        <v>0.1343212453802409</v>
      </c>
      <c r="AD125" s="43">
        <v>8.2612434362088871E-2</v>
      </c>
      <c r="AE125" s="43">
        <v>0.16990975997301419</v>
      </c>
      <c r="AF125" s="43">
        <v>0.1363262716466431</v>
      </c>
      <c r="AG125" s="43">
        <v>0.13861153339791249</v>
      </c>
      <c r="AH125" s="43">
        <v>-3.948153938228971E-2</v>
      </c>
      <c r="AI125" s="43">
        <v>6.2640792970247272E-2</v>
      </c>
      <c r="AJ125" s="43">
        <v>0.1088012029468008</v>
      </c>
      <c r="AK125" s="43">
        <v>0.74829924028813299</v>
      </c>
      <c r="AL125" s="43">
        <v>0.4177020459866978</v>
      </c>
      <c r="AM125" s="43">
        <v>7.8691645038826197E-2</v>
      </c>
      <c r="AN125" s="43">
        <v>0.21883954005386991</v>
      </c>
      <c r="AO125" s="43">
        <v>0.16471730435501961</v>
      </c>
      <c r="AP125" s="43">
        <v>0.110240033440234</v>
      </c>
      <c r="AQ125" s="43">
        <v>0.12983074596050481</v>
      </c>
      <c r="AR125" s="43">
        <v>0.1628971965224939</v>
      </c>
      <c r="AS125" s="43">
        <v>7.6982875274900886E-2</v>
      </c>
      <c r="AT125" s="43">
        <v>0.16723961243119029</v>
      </c>
      <c r="AU125" s="43">
        <v>2.5936135057795129E-2</v>
      </c>
      <c r="AV125" s="43">
        <v>0.1615127308511364</v>
      </c>
      <c r="AW125" s="43">
        <v>0.1727886216738983</v>
      </c>
      <c r="AX125" s="43">
        <v>0.13294152444766591</v>
      </c>
      <c r="AY125" s="43">
        <v>6.9794007245914447E-2</v>
      </c>
      <c r="AZ125" s="43">
        <v>0.12684403816527889</v>
      </c>
    </row>
    <row r="126" spans="1:52" ht="16" x14ac:dyDescent="0.2">
      <c r="A126" s="41">
        <v>43952</v>
      </c>
      <c r="B126" s="44">
        <v>8.5094118485568693E-2</v>
      </c>
      <c r="C126" s="44">
        <v>3.0730983627588419E-2</v>
      </c>
      <c r="D126" s="44">
        <v>9.3202098432906277E-2</v>
      </c>
      <c r="E126" s="44">
        <v>0.2214268475033507</v>
      </c>
      <c r="F126" s="44">
        <v>-3.3296599624733081E-2</v>
      </c>
      <c r="G126" s="44">
        <v>-1.278494124009177E-2</v>
      </c>
      <c r="H126" s="44">
        <v>3.2222030322888617E-2</v>
      </c>
      <c r="I126" s="44">
        <v>5.2352006641570803E-2</v>
      </c>
      <c r="J126" s="44">
        <v>1.805256227339691E-2</v>
      </c>
      <c r="K126" s="44">
        <v>0.12836240173213251</v>
      </c>
      <c r="L126" s="44">
        <v>1.137216271279318E-2</v>
      </c>
      <c r="M126" s="44">
        <v>8.4604811036568695E-2</v>
      </c>
      <c r="N126" s="44">
        <v>9.8604495957165916E-2</v>
      </c>
      <c r="O126" s="44">
        <v>8.0371356779595393E-2</v>
      </c>
      <c r="P126" s="44">
        <v>7.2826816047569798E-2</v>
      </c>
      <c r="Q126" s="44">
        <v>4.0479033297047268E-4</v>
      </c>
      <c r="R126" s="44">
        <v>4.0643428733092117E-2</v>
      </c>
      <c r="S126" s="44">
        <v>0.1241004314704051</v>
      </c>
      <c r="T126" s="44">
        <v>-3.3823462244787487E-2</v>
      </c>
      <c r="U126" s="44">
        <v>6.4469014214517228E-2</v>
      </c>
      <c r="V126" s="44">
        <v>7.7953999816945174E-2</v>
      </c>
      <c r="W126" s="44">
        <v>0.13032811960908311</v>
      </c>
      <c r="X126" s="44">
        <v>4.3518327264295831E-2</v>
      </c>
      <c r="Y126" s="44">
        <v>-1.7252855908687079E-3</v>
      </c>
      <c r="Z126" s="44">
        <v>1.6186342936057588E-2</v>
      </c>
      <c r="AA126" s="44">
        <v>1.7215271094644709E-2</v>
      </c>
      <c r="AB126" s="44">
        <v>4.7460320576941051E-2</v>
      </c>
      <c r="AC126" s="44">
        <v>1.19332872416944E-5</v>
      </c>
      <c r="AD126" s="44">
        <v>9.730724372907007E-3</v>
      </c>
      <c r="AE126" s="44">
        <v>0.12097345411308361</v>
      </c>
      <c r="AF126" s="44">
        <v>2.539125322890667E-2</v>
      </c>
      <c r="AG126" s="44">
        <v>4.1749894849241192E-4</v>
      </c>
      <c r="AH126" s="44">
        <v>0.1057460000303565</v>
      </c>
      <c r="AI126" s="44">
        <v>1.7591935883799929E-2</v>
      </c>
      <c r="AJ126" s="44">
        <v>0.2146570087016659</v>
      </c>
      <c r="AK126" s="44">
        <v>0.24902728464145521</v>
      </c>
      <c r="AL126" s="44">
        <v>0.22586029213770109</v>
      </c>
      <c r="AM126" s="44">
        <v>-1.6543629602375431E-2</v>
      </c>
      <c r="AN126" s="44">
        <v>0.14475481804676951</v>
      </c>
      <c r="AO126" s="44">
        <v>3.3472771959388581E-3</v>
      </c>
      <c r="AP126" s="44">
        <v>2.5439825965316801E-2</v>
      </c>
      <c r="AQ126" s="44">
        <v>4.1837425557741843E-2</v>
      </c>
      <c r="AR126" s="44">
        <v>2.809215384601638E-2</v>
      </c>
      <c r="AS126" s="44">
        <v>0.16530384384222541</v>
      </c>
      <c r="AT126" s="44">
        <v>0.1097988278431206</v>
      </c>
      <c r="AU126" s="44">
        <v>7.5636888967410165E-2</v>
      </c>
      <c r="AV126" s="44">
        <v>3.0997722256377092E-2</v>
      </c>
      <c r="AW126" s="44">
        <v>4.2329174659649922E-2</v>
      </c>
      <c r="AX126" s="44">
        <v>6.8984718060905781E-2</v>
      </c>
      <c r="AY126" s="44">
        <v>2.5139380934314118E-2</v>
      </c>
      <c r="AZ126" s="44">
        <v>4.5281819665558221E-2</v>
      </c>
    </row>
    <row r="127" spans="1:52" ht="16" x14ac:dyDescent="0.2">
      <c r="A127" s="39">
        <v>43983</v>
      </c>
      <c r="B127" s="43">
        <v>0.14738629224265851</v>
      </c>
      <c r="C127" s="43">
        <v>-3.6767799845660247E-2</v>
      </c>
      <c r="D127" s="43">
        <v>0.12599583726347799</v>
      </c>
      <c r="E127" s="43">
        <v>-6.4672611005340053E-2</v>
      </c>
      <c r="F127" s="43">
        <v>2.6817684523677391E-2</v>
      </c>
      <c r="G127" s="43">
        <v>0.1295667285339113</v>
      </c>
      <c r="H127" s="43">
        <v>5.3026010374290333E-2</v>
      </c>
      <c r="I127" s="43">
        <v>-9.8078348881717181E-3</v>
      </c>
      <c r="J127" s="43">
        <v>-1.7051902368312E-2</v>
      </c>
      <c r="K127" s="43">
        <v>-2.4675894772384299E-2</v>
      </c>
      <c r="L127" s="43">
        <v>-2.6935626990391651E-2</v>
      </c>
      <c r="M127" s="43">
        <v>-4.9360797955884439E-2</v>
      </c>
      <c r="N127" s="43">
        <v>-6.1956264405767743E-2</v>
      </c>
      <c r="O127" s="43">
        <v>1.6551963186789639E-2</v>
      </c>
      <c r="P127" s="43">
        <v>-6.0819296135878886E-3</v>
      </c>
      <c r="Q127" s="43">
        <v>-3.9255335867819707E-2</v>
      </c>
      <c r="R127" s="43">
        <v>-3.7537969294371587E-2</v>
      </c>
      <c r="S127" s="43">
        <v>1.7911936252391181E-2</v>
      </c>
      <c r="T127" s="43">
        <v>4.1132321862602288E-2</v>
      </c>
      <c r="U127" s="43">
        <v>-1.079198690244443E-2</v>
      </c>
      <c r="V127" s="43">
        <v>5.7507099417515306E-3</v>
      </c>
      <c r="W127" s="43">
        <v>1.418951481339281E-2</v>
      </c>
      <c r="X127" s="43">
        <v>2.0213889555178891E-2</v>
      </c>
      <c r="Y127" s="43">
        <v>-5.4588198474309617E-2</v>
      </c>
      <c r="Z127" s="43">
        <v>-3.3398458854895008E-2</v>
      </c>
      <c r="AA127" s="43">
        <v>-3.4149322203350541E-2</v>
      </c>
      <c r="AB127" s="43">
        <v>-1.8207201356796762E-2</v>
      </c>
      <c r="AC127" s="43">
        <v>-9.9289447520017893E-3</v>
      </c>
      <c r="AD127" s="43">
        <v>-6.3684364638088353E-2</v>
      </c>
      <c r="AE127" s="43">
        <v>9.2760317741175324E-2</v>
      </c>
      <c r="AF127" s="43">
        <v>0.11055948943417369</v>
      </c>
      <c r="AG127" s="43">
        <v>7.5349606411597048E-2</v>
      </c>
      <c r="AH127" s="43">
        <v>-5.5043864372904872E-2</v>
      </c>
      <c r="AI127" s="43">
        <v>-3.8169516363016909E-3</v>
      </c>
      <c r="AJ127" s="43">
        <v>7.0597239720771032E-2</v>
      </c>
      <c r="AK127" s="43">
        <v>-4.6729298211578563E-3</v>
      </c>
      <c r="AL127" s="43">
        <v>-9.4576357731444238E-2</v>
      </c>
      <c r="AM127" s="43">
        <v>3.1487237040239258E-2</v>
      </c>
      <c r="AN127" s="43">
        <v>1.833647633608115E-2</v>
      </c>
      <c r="AO127" s="43">
        <v>-7.172641143403824E-2</v>
      </c>
      <c r="AP127" s="43">
        <v>2.630161205283299E-2</v>
      </c>
      <c r="AQ127" s="43">
        <v>-4.1106895678937223E-2</v>
      </c>
      <c r="AR127" s="43">
        <v>0.1364486001601368</v>
      </c>
      <c r="AS127" s="43">
        <v>1.768918573283074E-2</v>
      </c>
      <c r="AT127" s="43">
        <v>-2.6942978330631421E-2</v>
      </c>
      <c r="AU127" s="43">
        <v>-4.1697941543963453E-2</v>
      </c>
      <c r="AV127" s="43">
        <v>6.9311151516484593E-2</v>
      </c>
      <c r="AW127" s="43">
        <v>-2.830815595872083E-2</v>
      </c>
      <c r="AX127" s="43">
        <v>-4.6508356386179006E-3</v>
      </c>
      <c r="AY127" s="43">
        <v>-3.4499412059043062E-2</v>
      </c>
      <c r="AZ127" s="43">
        <v>1.838839651392421E-2</v>
      </c>
    </row>
    <row r="128" spans="1:52" ht="16" x14ac:dyDescent="0.2">
      <c r="A128" s="41">
        <v>44013</v>
      </c>
      <c r="B128" s="44">
        <v>0.1651316581974209</v>
      </c>
      <c r="C128" s="44">
        <v>0.1050059299576287</v>
      </c>
      <c r="D128" s="44">
        <v>2.0697916005047109E-2</v>
      </c>
      <c r="E128" s="44">
        <v>4.1594708352044041E-2</v>
      </c>
      <c r="F128" s="44">
        <v>3.7352535890054162E-2</v>
      </c>
      <c r="G128" s="44">
        <v>0.1471136218500213</v>
      </c>
      <c r="H128" s="44">
        <v>5.8301554807337341E-2</v>
      </c>
      <c r="I128" s="44">
        <v>9.7998654080801106E-2</v>
      </c>
      <c r="J128" s="44">
        <v>7.5921885252037802E-2</v>
      </c>
      <c r="K128" s="44">
        <v>1.781776409872737E-2</v>
      </c>
      <c r="L128" s="44">
        <v>-5.9285226845129602E-2</v>
      </c>
      <c r="M128" s="44">
        <v>4.8695227668831283E-2</v>
      </c>
      <c r="N128" s="44">
        <v>-5.966336059374322E-2</v>
      </c>
      <c r="O128" s="44">
        <v>-3.2257795966328379E-4</v>
      </c>
      <c r="P128" s="44">
        <v>-6.7841751484232438E-2</v>
      </c>
      <c r="Q128" s="44">
        <v>-2.7379933647727169E-2</v>
      </c>
      <c r="R128" s="44">
        <v>-2.5666776173752459E-2</v>
      </c>
      <c r="S128" s="44">
        <v>-1.091923409528295E-2</v>
      </c>
      <c r="T128" s="44">
        <v>-0.11127376062606149</v>
      </c>
      <c r="U128" s="44">
        <v>4.9293092607953337E-2</v>
      </c>
      <c r="V128" s="44">
        <v>1.720587020027198E-3</v>
      </c>
      <c r="W128" s="44">
        <v>5.979787745752474E-2</v>
      </c>
      <c r="X128" s="44">
        <v>-5.0110599435438052E-2</v>
      </c>
      <c r="Y128" s="44">
        <v>3.6478716691112467E-2</v>
      </c>
      <c r="Z128" s="44">
        <v>3.7440945178779383E-2</v>
      </c>
      <c r="AA128" s="44">
        <v>5.7296484771799161E-2</v>
      </c>
      <c r="AB128" s="44">
        <v>5.1621461297361781E-2</v>
      </c>
      <c r="AC128" s="44">
        <v>5.3178939941388892E-2</v>
      </c>
      <c r="AD128" s="44">
        <v>5.2126477723028357E-2</v>
      </c>
      <c r="AE128" s="44">
        <v>1.905848744928873E-2</v>
      </c>
      <c r="AF128" s="44">
        <v>7.3703479311924003E-3</v>
      </c>
      <c r="AG128" s="44">
        <v>-2.8338474741092749E-2</v>
      </c>
      <c r="AH128" s="44">
        <v>0.168755107498646</v>
      </c>
      <c r="AI128" s="44">
        <v>9.4956157313326184E-3</v>
      </c>
      <c r="AJ128" s="44">
        <v>0.1176063050522673</v>
      </c>
      <c r="AK128" s="44">
        <v>-0.1205007820054935</v>
      </c>
      <c r="AL128" s="44">
        <v>-0.13189309571155791</v>
      </c>
      <c r="AM128" s="44">
        <v>0.1035161572121648</v>
      </c>
      <c r="AN128" s="44">
        <v>-2.3735566346925641E-2</v>
      </c>
      <c r="AO128" s="44">
        <v>6.7385444051064614E-2</v>
      </c>
      <c r="AP128" s="44">
        <v>0.1295403285564056</v>
      </c>
      <c r="AQ128" s="44">
        <v>5.461214955833249E-2</v>
      </c>
      <c r="AR128" s="44">
        <v>0.1578774907844962</v>
      </c>
      <c r="AS128" s="44">
        <v>1.350110053386766E-2</v>
      </c>
      <c r="AT128" s="44">
        <v>0.12126007210431761</v>
      </c>
      <c r="AU128" s="44">
        <v>2.8282959992455229E-2</v>
      </c>
      <c r="AV128" s="44">
        <v>1.148346258829225E-2</v>
      </c>
      <c r="AW128" s="44">
        <v>2.654690714876828E-2</v>
      </c>
      <c r="AX128" s="44">
        <v>2.5315005881447972E-2</v>
      </c>
      <c r="AY128" s="44">
        <v>8.0313797413964272E-2</v>
      </c>
      <c r="AZ128" s="44">
        <v>5.5101321480443673E-2</v>
      </c>
    </row>
    <row r="129" spans="1:52" ht="16" x14ac:dyDescent="0.2">
      <c r="A129" s="39">
        <v>44044</v>
      </c>
      <c r="B129" s="43">
        <v>0.21656918328827099</v>
      </c>
      <c r="C129" s="43">
        <v>8.7738319801674125E-2</v>
      </c>
      <c r="D129" s="43">
        <v>0.15545104020899661</v>
      </c>
      <c r="E129" s="43">
        <v>-2.8524010948469569E-2</v>
      </c>
      <c r="F129" s="43">
        <v>4.2289206293120163E-2</v>
      </c>
      <c r="G129" s="43">
        <v>9.0461033692982085E-2</v>
      </c>
      <c r="H129" s="43">
        <v>7.096679020186869E-2</v>
      </c>
      <c r="I129" s="43">
        <v>4.6962550543585779E-2</v>
      </c>
      <c r="J129" s="43">
        <v>6.798141161734006E-2</v>
      </c>
      <c r="K129" s="43">
        <v>-0.1036092069863085</v>
      </c>
      <c r="L129" s="43">
        <v>1.429604519774008E-2</v>
      </c>
      <c r="M129" s="43">
        <v>0.12767231519576991</v>
      </c>
      <c r="N129" s="43">
        <v>5.3452915094710507E-2</v>
      </c>
      <c r="O129" s="43">
        <v>0.1281605485608843</v>
      </c>
      <c r="P129" s="43">
        <v>-3.2230879249966038E-2</v>
      </c>
      <c r="Q129" s="43">
        <v>-3.7678684862888168E-2</v>
      </c>
      <c r="R129" s="43">
        <v>-2.6269258467730091E-2</v>
      </c>
      <c r="S129" s="43">
        <v>1.7786437608317881E-2</v>
      </c>
      <c r="T129" s="43">
        <v>4.4480942106491339E-2</v>
      </c>
      <c r="U129" s="43">
        <v>9.5151193471388007E-2</v>
      </c>
      <c r="V129" s="43">
        <v>4.1171667130819323E-2</v>
      </c>
      <c r="W129" s="43">
        <v>7.3637545811575E-2</v>
      </c>
      <c r="X129" s="43">
        <v>-2.4402628695623041E-2</v>
      </c>
      <c r="Y129" s="43">
        <v>5.9488871802372938E-2</v>
      </c>
      <c r="Z129" s="43">
        <v>3.6734154957925869E-2</v>
      </c>
      <c r="AA129" s="43">
        <v>4.8475659252730903E-2</v>
      </c>
      <c r="AB129" s="43">
        <v>3.3633638631391793E-2</v>
      </c>
      <c r="AC129" s="43">
        <v>0.1054624375108992</v>
      </c>
      <c r="AD129" s="43">
        <v>0.1139094501775806</v>
      </c>
      <c r="AE129" s="43">
        <v>6.9149024925761138E-2</v>
      </c>
      <c r="AF129" s="43">
        <v>0.1027521356631744</v>
      </c>
      <c r="AG129" s="43">
        <v>-9.0890783568049582E-2</v>
      </c>
      <c r="AH129" s="43">
        <v>-4.3475655927249779E-4</v>
      </c>
      <c r="AI129" s="43">
        <v>6.9751661734715809E-2</v>
      </c>
      <c r="AJ129" s="43">
        <v>0.25999248852360668</v>
      </c>
      <c r="AK129" s="43">
        <v>-4.0925271131140861E-2</v>
      </c>
      <c r="AL129" s="43">
        <v>-1.5406481846089949E-2</v>
      </c>
      <c r="AM129" s="43">
        <v>5.4987719864050273E-2</v>
      </c>
      <c r="AN129" s="43">
        <v>0.15625890790166139</v>
      </c>
      <c r="AO129" s="43">
        <v>-0.1557239363340519</v>
      </c>
      <c r="AP129" s="43">
        <v>-3.3769672724934467E-2</v>
      </c>
      <c r="AQ129" s="43">
        <v>2.9246062900013969E-2</v>
      </c>
      <c r="AR129" s="43">
        <v>0.12773407056493169</v>
      </c>
      <c r="AS129" s="43">
        <v>-1.9206702236655441E-2</v>
      </c>
      <c r="AT129" s="43">
        <v>3.7789668853756009E-2</v>
      </c>
      <c r="AU129" s="43">
        <v>5.3856775005580733E-2</v>
      </c>
      <c r="AV129" s="43">
        <v>0.1144647851283038</v>
      </c>
      <c r="AW129" s="43">
        <v>3.2267583026085678E-2</v>
      </c>
      <c r="AX129" s="43">
        <v>0.1156900081838097</v>
      </c>
      <c r="AY129" s="43">
        <v>7.7440832748038479E-2</v>
      </c>
      <c r="AZ129" s="43">
        <v>7.0064666901717754E-2</v>
      </c>
    </row>
    <row r="130" spans="1:52" ht="16" x14ac:dyDescent="0.2">
      <c r="A130" s="41">
        <v>44075</v>
      </c>
      <c r="B130" s="44">
        <v>-0.1025262969479197</v>
      </c>
      <c r="C130" s="44">
        <v>-5.8462408714853309E-3</v>
      </c>
      <c r="D130" s="44">
        <v>-4.4722377369140982E-2</v>
      </c>
      <c r="E130" s="44">
        <v>9.0753623840074127E-3</v>
      </c>
      <c r="F130" s="44">
        <v>3.3159585421518312E-3</v>
      </c>
      <c r="G130" s="44">
        <v>-8.7578591852605525E-2</v>
      </c>
      <c r="H130" s="44">
        <v>4.8063647521792818E-2</v>
      </c>
      <c r="I130" s="44">
        <v>3.235880268422453E-2</v>
      </c>
      <c r="J130" s="44">
        <v>2.1112618162973721E-2</v>
      </c>
      <c r="K130" s="44">
        <v>-6.702986676027578E-2</v>
      </c>
      <c r="L130" s="44">
        <v>-0.14214217817853231</v>
      </c>
      <c r="M130" s="44">
        <v>-5.9073311382126459E-2</v>
      </c>
      <c r="N130" s="44">
        <v>1.6350652170376231E-2</v>
      </c>
      <c r="O130" s="44">
        <v>-5.6139418888637722E-2</v>
      </c>
      <c r="P130" s="44">
        <v>-0.20732239988869591</v>
      </c>
      <c r="Q130" s="44">
        <v>0.10036010434278909</v>
      </c>
      <c r="R130" s="44">
        <v>-7.2243671546181276E-2</v>
      </c>
      <c r="S130" s="44">
        <v>-7.3116898660670282E-2</v>
      </c>
      <c r="T130" s="44">
        <v>-1.5725810581515679E-2</v>
      </c>
      <c r="U130" s="44">
        <v>-0.1005995580711104</v>
      </c>
      <c r="V130" s="44">
        <v>-1.9036699210226882E-2</v>
      </c>
      <c r="W130" s="44">
        <v>-2.057808283160556E-2</v>
      </c>
      <c r="X130" s="44">
        <v>-6.8604055163809519E-2</v>
      </c>
      <c r="Y130" s="44">
        <v>-2.9528700167829599E-2</v>
      </c>
      <c r="Z130" s="44">
        <v>-3.9125743740228043E-2</v>
      </c>
      <c r="AA130" s="44">
        <v>4.8382860002709194E-3</v>
      </c>
      <c r="AB130" s="44">
        <v>-3.2522555833672813E-2</v>
      </c>
      <c r="AC130" s="44">
        <v>2.7960193748231891E-2</v>
      </c>
      <c r="AD130" s="44">
        <v>-2.7555364854015E-2</v>
      </c>
      <c r="AE130" s="44">
        <v>-7.4818162720122317E-2</v>
      </c>
      <c r="AF130" s="44">
        <v>-6.7397020413398789E-2</v>
      </c>
      <c r="AG130" s="44">
        <v>3.1861106624568869E-2</v>
      </c>
      <c r="AH130" s="44">
        <v>-5.7670312213951016E-3</v>
      </c>
      <c r="AI130" s="44">
        <v>-7.4910308013569349E-2</v>
      </c>
      <c r="AJ130" s="44">
        <v>1.196653236401612E-2</v>
      </c>
      <c r="AK130" s="44">
        <v>-0.34693876287206021</v>
      </c>
      <c r="AL130" s="44">
        <v>-5.4585278392222158E-2</v>
      </c>
      <c r="AM130" s="44">
        <v>4.771164944877393E-3</v>
      </c>
      <c r="AN130" s="44">
        <v>-1.7814973651974379E-2</v>
      </c>
      <c r="AO130" s="44">
        <v>-6.9790325710689114E-3</v>
      </c>
      <c r="AP130" s="44">
        <v>-6.5644596342989692E-3</v>
      </c>
      <c r="AQ130" s="44">
        <v>-4.5881004495304863E-2</v>
      </c>
      <c r="AR130" s="44">
        <v>-6.630587045092784E-3</v>
      </c>
      <c r="AS130" s="44">
        <v>-9.7027215614897355E-2</v>
      </c>
      <c r="AT130" s="44">
        <v>3.8283322275202147E-2</v>
      </c>
      <c r="AU130" s="44">
        <v>1.5696301505085719E-2</v>
      </c>
      <c r="AV130" s="44">
        <v>4.502199082859093E-3</v>
      </c>
      <c r="AW130" s="44">
        <v>1.6146961149268171E-3</v>
      </c>
      <c r="AX130" s="44">
        <v>2.301995717183614E-2</v>
      </c>
      <c r="AY130" s="44">
        <v>7.6339258307382973E-3</v>
      </c>
      <c r="AZ130" s="44">
        <v>-3.9227970178423062E-2</v>
      </c>
    </row>
    <row r="131" spans="1:52" ht="16" x14ac:dyDescent="0.2">
      <c r="A131" s="39">
        <v>44105</v>
      </c>
      <c r="B131" s="43">
        <v>-6.0012193615692537E-2</v>
      </c>
      <c r="C131" s="43">
        <v>-3.0962573621459041E-2</v>
      </c>
      <c r="D131" s="43">
        <v>-8.8351012824190556E-2</v>
      </c>
      <c r="E131" s="43">
        <v>3.2377499623615913E-2</v>
      </c>
      <c r="F131" s="43">
        <v>-0.14644330107174039</v>
      </c>
      <c r="G131" s="43">
        <v>-3.5754085335205521E-2</v>
      </c>
      <c r="H131" s="43">
        <v>5.939858298380174E-2</v>
      </c>
      <c r="I131" s="43">
        <v>-8.229236948604568E-2</v>
      </c>
      <c r="J131" s="43">
        <v>9.3161337974370095E-3</v>
      </c>
      <c r="K131" s="43">
        <v>-8.0194698556142918E-2</v>
      </c>
      <c r="L131" s="43">
        <v>-3.4722206084601408E-2</v>
      </c>
      <c r="M131" s="43">
        <v>-2.2807820726595929E-2</v>
      </c>
      <c r="N131" s="43">
        <v>-8.1314977582673031E-2</v>
      </c>
      <c r="O131" s="43">
        <v>-1.189547810028291E-2</v>
      </c>
      <c r="P131" s="43">
        <v>-3.7708713056630823E-2</v>
      </c>
      <c r="Q131" s="43">
        <v>-0.16237223299889339</v>
      </c>
      <c r="R131" s="43">
        <v>8.2837876325006832E-2</v>
      </c>
      <c r="S131" s="43">
        <v>-4.4030666417722797E-2</v>
      </c>
      <c r="T131" s="43">
        <v>0.19101097944167411</v>
      </c>
      <c r="U131" s="43">
        <v>0.10269496196299931</v>
      </c>
      <c r="V131" s="43">
        <v>-5.9361747039972317E-2</v>
      </c>
      <c r="W131" s="43">
        <v>-3.9609479283822642E-2</v>
      </c>
      <c r="X131" s="43">
        <v>-3.4544222731396457E-2</v>
      </c>
      <c r="Y131" s="43">
        <v>-7.9056942075036662E-2</v>
      </c>
      <c r="Z131" s="43">
        <v>2.7835833881669551E-2</v>
      </c>
      <c r="AA131" s="43">
        <v>-2.65342677498972E-2</v>
      </c>
      <c r="AB131" s="43">
        <v>8.9160088425812356E-2</v>
      </c>
      <c r="AC131" s="43">
        <v>-2.9568812594124472E-2</v>
      </c>
      <c r="AD131" s="43">
        <v>-3.2236270074993738E-2</v>
      </c>
      <c r="AE131" s="43">
        <v>3.2448086284104778E-3</v>
      </c>
      <c r="AF131" s="43">
        <v>-3.7369635948327977E-2</v>
      </c>
      <c r="AG131" s="43">
        <v>7.1975968441085003E-2</v>
      </c>
      <c r="AH131" s="43">
        <v>5.5051257768578221E-2</v>
      </c>
      <c r="AI131" s="43">
        <v>1.2034887175949249E-2</v>
      </c>
      <c r="AJ131" s="43">
        <v>-7.3648416815894957E-2</v>
      </c>
      <c r="AK131" s="43">
        <v>0.15909089369714741</v>
      </c>
      <c r="AL131" s="43">
        <v>0.15166457045827819</v>
      </c>
      <c r="AM131" s="43">
        <v>-8.1207433430872111E-3</v>
      </c>
      <c r="AN131" s="43">
        <v>2.975235674649435E-2</v>
      </c>
      <c r="AO131" s="43">
        <v>-2.108434109866153E-2</v>
      </c>
      <c r="AP131" s="43">
        <v>-1.4112805883466971E-2</v>
      </c>
      <c r="AQ131" s="43">
        <v>-7.7732246078714762E-2</v>
      </c>
      <c r="AR131" s="43">
        <v>4.8266282059676202E-2</v>
      </c>
      <c r="AS131" s="43">
        <v>-2.8975438862959831E-2</v>
      </c>
      <c r="AT131" s="43">
        <v>-1.257276087787473E-2</v>
      </c>
      <c r="AU131" s="43">
        <v>-8.715188899638604E-2</v>
      </c>
      <c r="AV131" s="43">
        <v>1.9880717461296941E-2</v>
      </c>
      <c r="AW131" s="43">
        <v>-2.1265391524521119E-2</v>
      </c>
      <c r="AX131" s="43">
        <v>-9.9964449877997019E-2</v>
      </c>
      <c r="AY131" s="43">
        <v>-8.2909361657161895E-3</v>
      </c>
      <c r="AZ131" s="43">
        <v>-2.7665786221379721E-2</v>
      </c>
    </row>
    <row r="132" spans="1:52" ht="16" x14ac:dyDescent="0.2">
      <c r="A132" s="41">
        <v>44136</v>
      </c>
      <c r="B132" s="44">
        <v>9.5493327048563836E-2</v>
      </c>
      <c r="C132" s="44">
        <v>2.9587906145466251E-2</v>
      </c>
      <c r="D132" s="44">
        <v>7.0163262556351969E-2</v>
      </c>
      <c r="E132" s="44">
        <v>1.721841047894257E-2</v>
      </c>
      <c r="F132" s="44">
        <v>3.0461477898913399E-2</v>
      </c>
      <c r="G132" s="44">
        <v>4.3439868865324797E-2</v>
      </c>
      <c r="H132" s="44">
        <v>0.1053166827848631</v>
      </c>
      <c r="I132" s="44">
        <v>0.1893940517296773</v>
      </c>
      <c r="J132" s="44">
        <v>9.5492222782154412E-2</v>
      </c>
      <c r="K132" s="44">
        <v>0.19832858044846691</v>
      </c>
      <c r="L132" s="44">
        <v>0.27284598239731661</v>
      </c>
      <c r="M132" s="44">
        <v>0.2207010244299932</v>
      </c>
      <c r="N132" s="44">
        <v>0.21003321733138919</v>
      </c>
      <c r="O132" s="44">
        <v>0.1937251000984439</v>
      </c>
      <c r="P132" s="44">
        <v>0.36915878749968017</v>
      </c>
      <c r="Q132" s="44">
        <v>-6.4453111539478081E-2</v>
      </c>
      <c r="R132" s="44">
        <v>0.22468778824005819</v>
      </c>
      <c r="S132" s="44">
        <v>0.1372114228599384</v>
      </c>
      <c r="T132" s="44">
        <v>0.37196800180965978</v>
      </c>
      <c r="U132" s="44">
        <v>8.5569817784925561E-2</v>
      </c>
      <c r="V132" s="44">
        <v>0.2197417588042587</v>
      </c>
      <c r="W132" s="44">
        <v>4.0118482484202238E-2</v>
      </c>
      <c r="X132" s="44">
        <v>-2.4238209705850888E-2</v>
      </c>
      <c r="Y132" s="44">
        <v>6.2542957265780519E-2</v>
      </c>
      <c r="Z132" s="44">
        <v>0.2023665037092712</v>
      </c>
      <c r="AA132" s="44">
        <v>8.2076265141682869E-2</v>
      </c>
      <c r="AB132" s="44">
        <v>0.10294302290432621</v>
      </c>
      <c r="AC132" s="44">
        <v>2.691268527910928E-2</v>
      </c>
      <c r="AD132" s="44">
        <v>0.13055571142676259</v>
      </c>
      <c r="AE132" s="44">
        <v>0.28411207413898748</v>
      </c>
      <c r="AF132" s="44">
        <v>6.0060460098704249E-2</v>
      </c>
      <c r="AG132" s="44">
        <v>0.27314269328415791</v>
      </c>
      <c r="AH132" s="44">
        <v>9.9044785468211938E-3</v>
      </c>
      <c r="AI132" s="44">
        <v>0.21462735133174871</v>
      </c>
      <c r="AJ132" s="44">
        <v>6.9211496967331199E-2</v>
      </c>
      <c r="AK132" s="44">
        <v>0.48774516793316791</v>
      </c>
      <c r="AL132" s="44">
        <v>0.23689659498464979</v>
      </c>
      <c r="AM132" s="44">
        <v>1.290995459139088E-2</v>
      </c>
      <c r="AN132" s="44">
        <v>0.28788412633070792</v>
      </c>
      <c r="AO132" s="44">
        <v>0.18871796436798879</v>
      </c>
      <c r="AP132" s="44">
        <v>8.5686391529669059E-3</v>
      </c>
      <c r="AQ132" s="44">
        <v>0.24885184840323091</v>
      </c>
      <c r="AR132" s="44">
        <v>0.19301239110403531</v>
      </c>
      <c r="AS132" s="44">
        <v>-5.0647650143673562E-2</v>
      </c>
      <c r="AT132" s="44">
        <v>8.870836869787091E-2</v>
      </c>
      <c r="AU132" s="44">
        <v>0.25019678689684932</v>
      </c>
      <c r="AV132" s="44">
        <v>0.11522224096789691</v>
      </c>
      <c r="AW132" s="44">
        <v>0.1022482345390763</v>
      </c>
      <c r="AX132" s="44">
        <v>0.15717417309865089</v>
      </c>
      <c r="AY132" s="44">
        <v>0.1011893472789729</v>
      </c>
      <c r="AZ132" s="44">
        <v>0.1075456354438591</v>
      </c>
    </row>
    <row r="133" spans="1:52" ht="16" x14ac:dyDescent="0.2">
      <c r="A133" s="39">
        <v>44166</v>
      </c>
      <c r="B133" s="43">
        <v>0.1145736308633505</v>
      </c>
      <c r="C133" s="43">
        <v>1.1735270961676701E-2</v>
      </c>
      <c r="D133" s="43">
        <v>4.5248383056930568E-2</v>
      </c>
      <c r="E133" s="43">
        <v>0.17974807393340669</v>
      </c>
      <c r="F133" s="43">
        <v>3.5489049425644133E-2</v>
      </c>
      <c r="G133" s="43">
        <v>2.8058383014484271E-2</v>
      </c>
      <c r="H133" s="43">
        <v>4.8562973118283732E-2</v>
      </c>
      <c r="I133" s="43">
        <v>4.2993585328926047E-2</v>
      </c>
      <c r="J133" s="43">
        <v>-1.3070573203568411E-2</v>
      </c>
      <c r="K133" s="43">
        <v>4.0213823120485159E-2</v>
      </c>
      <c r="L133" s="43">
        <v>-3.1314664291120509E-2</v>
      </c>
      <c r="M133" s="43">
        <v>0.22410640073571361</v>
      </c>
      <c r="N133" s="43">
        <v>-2.3945999429258461E-2</v>
      </c>
      <c r="O133" s="43">
        <v>4.6212094366287371E-2</v>
      </c>
      <c r="P133" s="43">
        <v>6.3779752145903812E-2</v>
      </c>
      <c r="Q133" s="43">
        <v>4.7494773207684693E-2</v>
      </c>
      <c r="R133" s="43">
        <v>8.0646183156455997E-2</v>
      </c>
      <c r="S133" s="43">
        <v>-3.5486490694824901E-3</v>
      </c>
      <c r="T133" s="43">
        <v>6.1879767744194458E-2</v>
      </c>
      <c r="U133" s="43">
        <v>-1.0031381321646831E-3</v>
      </c>
      <c r="V133" s="43">
        <v>0.14991486321665981</v>
      </c>
      <c r="W133" s="43">
        <v>-3.7279150951151419E-2</v>
      </c>
      <c r="X133" s="43">
        <v>2.8862105689403839E-2</v>
      </c>
      <c r="Y133" s="43">
        <v>8.7780421938562059E-2</v>
      </c>
      <c r="Z133" s="43">
        <v>7.7960560415168523E-2</v>
      </c>
      <c r="AA133" s="43">
        <v>6.2790801560189236E-2</v>
      </c>
      <c r="AB133" s="43">
        <v>0.1091350477086606</v>
      </c>
      <c r="AC133" s="43">
        <v>-1.31532534445713E-2</v>
      </c>
      <c r="AD133" s="43">
        <v>3.5400680785999887E-2</v>
      </c>
      <c r="AE133" s="43">
        <v>0.1083618818243277</v>
      </c>
      <c r="AF133" s="43">
        <v>3.9005971384183269E-2</v>
      </c>
      <c r="AG133" s="43">
        <v>0.17303796053651149</v>
      </c>
      <c r="AH133" s="43">
        <v>4.8376514482280093E-2</v>
      </c>
      <c r="AI133" s="43">
        <v>0.24254338524547059</v>
      </c>
      <c r="AJ133" s="43">
        <v>-2.556733453274351E-2</v>
      </c>
      <c r="AK133" s="43">
        <v>0.30971986564033299</v>
      </c>
      <c r="AL133" s="43">
        <v>6.9975162420865322E-2</v>
      </c>
      <c r="AM133" s="43">
        <v>1.944392289895847E-3</v>
      </c>
      <c r="AN133" s="43">
        <v>1.9269222136487851E-2</v>
      </c>
      <c r="AO133" s="43">
        <v>-3.7100974936550617E-2</v>
      </c>
      <c r="AP133" s="43">
        <v>1.921938634317222E-3</v>
      </c>
      <c r="AQ133" s="43">
        <v>4.3174082330452952E-2</v>
      </c>
      <c r="AR133" s="43">
        <v>3.9596645021683363E-2</v>
      </c>
      <c r="AS133" s="43">
        <v>-6.3794791953648677E-2</v>
      </c>
      <c r="AT133" s="43">
        <v>-1.701383957246971E-2</v>
      </c>
      <c r="AU133" s="43">
        <v>7.526355500590487E-2</v>
      </c>
      <c r="AV133" s="43">
        <v>1.7860826628868901E-2</v>
      </c>
      <c r="AW133" s="43">
        <v>4.6386028699817013E-2</v>
      </c>
      <c r="AX133" s="43">
        <v>2.0286133513410132E-2</v>
      </c>
      <c r="AY133" s="43">
        <v>-5.3099679015330643E-2</v>
      </c>
      <c r="AZ133" s="43">
        <v>3.7121459093570008E-2</v>
      </c>
    </row>
    <row r="134" spans="1:52" ht="16" x14ac:dyDescent="0.2">
      <c r="A134" s="41">
        <v>44197</v>
      </c>
      <c r="B134" s="44">
        <v>-5.5013341413439054E-3</v>
      </c>
      <c r="C134" s="44">
        <v>0.1333264659767148</v>
      </c>
      <c r="D134" s="44">
        <v>-8.2680169773709067E-2</v>
      </c>
      <c r="E134" s="44">
        <v>-3.8773536835987277E-2</v>
      </c>
      <c r="F134" s="44">
        <v>5.0060991115939313E-2</v>
      </c>
      <c r="G134" s="44">
        <v>-1.557601223652838E-2</v>
      </c>
      <c r="H134" s="44">
        <v>9.8494606022503373E-3</v>
      </c>
      <c r="I134" s="44">
        <v>-4.9680311917570719E-2</v>
      </c>
      <c r="J134" s="44">
        <v>-6.4626523274192937E-2</v>
      </c>
      <c r="K134" s="44">
        <v>4.280530831529239E-3</v>
      </c>
      <c r="L134" s="44">
        <v>8.8811197244447193E-3</v>
      </c>
      <c r="M134" s="44">
        <v>-7.1806939484700516E-2</v>
      </c>
      <c r="N134" s="44">
        <v>-5.4769855976878667E-2</v>
      </c>
      <c r="O134" s="44">
        <v>-1.2691383156578031E-2</v>
      </c>
      <c r="P134" s="44">
        <v>2.8233288775656451E-2</v>
      </c>
      <c r="Q134" s="44">
        <v>0.1066267773885574</v>
      </c>
      <c r="R134" s="44">
        <v>0.113731921275265</v>
      </c>
      <c r="S134" s="44">
        <v>-7.2251612065226123E-3</v>
      </c>
      <c r="T134" s="44">
        <v>-1.111111111111107E-2</v>
      </c>
      <c r="U134" s="44">
        <v>4.2632719021915788E-2</v>
      </c>
      <c r="V134" s="44">
        <v>2.8288679014508711E-2</v>
      </c>
      <c r="W134" s="44">
        <v>1.957680923294447E-2</v>
      </c>
      <c r="X134" s="44">
        <v>3.1846361648198318E-2</v>
      </c>
      <c r="Y134" s="44">
        <v>3.653566428325683E-2</v>
      </c>
      <c r="Z134" s="44">
        <v>1.988390585616617E-2</v>
      </c>
      <c r="AA134" s="44">
        <v>-0.12199125282259519</v>
      </c>
      <c r="AB134" s="44">
        <v>8.8509923706499016E-2</v>
      </c>
      <c r="AC134" s="44">
        <v>-3.1410156537948541E-2</v>
      </c>
      <c r="AD134" s="44">
        <v>-4.959869378308146E-2</v>
      </c>
      <c r="AE134" s="44">
        <v>-1.6565735593752181E-2</v>
      </c>
      <c r="AF134" s="44">
        <v>4.2891813425738112E-2</v>
      </c>
      <c r="AG134" s="44">
        <v>4.1101280622999559E-2</v>
      </c>
      <c r="AH134" s="44">
        <v>4.821748456676711E-2</v>
      </c>
      <c r="AI134" s="44">
        <v>1.045514584827734E-2</v>
      </c>
      <c r="AJ134" s="44">
        <v>-4.9979676022150477E-3</v>
      </c>
      <c r="AK134" s="44">
        <v>6.2893083269925043E-2</v>
      </c>
      <c r="AL134" s="44">
        <v>6.134590611891122E-2</v>
      </c>
      <c r="AM134" s="44">
        <v>-7.2996175932513507E-2</v>
      </c>
      <c r="AN134" s="44">
        <v>-2.86330747831447E-2</v>
      </c>
      <c r="AO134" s="44">
        <v>-5.3762963049051038E-3</v>
      </c>
      <c r="AP134" s="44">
        <v>3.5520609605834252E-2</v>
      </c>
      <c r="AQ134" s="44">
        <v>-4.4457037152258017E-2</v>
      </c>
      <c r="AR134" s="44">
        <v>2.5863514476842871E-2</v>
      </c>
      <c r="AS134" s="44">
        <v>4.2909459401898609E-2</v>
      </c>
      <c r="AT134" s="44">
        <v>-5.8660289447516438E-2</v>
      </c>
      <c r="AU134" s="44">
        <v>-6.2234502576437589E-2</v>
      </c>
      <c r="AV134" s="44">
        <v>1.5625960237190869E-2</v>
      </c>
      <c r="AW134" s="44">
        <v>-4.8762033552132711E-2</v>
      </c>
      <c r="AX134" s="44">
        <v>-5.1627990990036787E-2</v>
      </c>
      <c r="AY134" s="44">
        <v>-2.539019876791937E-2</v>
      </c>
      <c r="AZ134" s="44">
        <v>-1.113666075544517E-2</v>
      </c>
    </row>
    <row r="135" spans="1:52" ht="16" x14ac:dyDescent="0.2">
      <c r="A135" s="39">
        <v>44228</v>
      </c>
      <c r="B135" s="43">
        <v>-7.9712021321413529E-2</v>
      </c>
      <c r="C135" s="43">
        <v>-3.0827685768822891E-2</v>
      </c>
      <c r="D135" s="43">
        <v>1.9618205977194329E-3</v>
      </c>
      <c r="E135" s="43">
        <v>-4.4247029959150419E-2</v>
      </c>
      <c r="F135" s="43">
        <v>-6.1457207954814241E-2</v>
      </c>
      <c r="G135" s="43">
        <v>-3.5328413767423683E-2</v>
      </c>
      <c r="H135" s="43">
        <v>0.1807043555207424</v>
      </c>
      <c r="I135" s="43">
        <v>6.3546370450338507E-2</v>
      </c>
      <c r="J135" s="43">
        <v>-5.8951884583816623E-2</v>
      </c>
      <c r="K135" s="43">
        <v>6.5050113249096597E-3</v>
      </c>
      <c r="L135" s="43">
        <v>0.19029973551108359</v>
      </c>
      <c r="M135" s="43">
        <v>0.1241004366567033</v>
      </c>
      <c r="N135" s="43">
        <v>2.3715285684246409E-2</v>
      </c>
      <c r="O135" s="43">
        <v>8.9010731397036524E-2</v>
      </c>
      <c r="P135" s="43">
        <v>0.2668762986555171</v>
      </c>
      <c r="Q135" s="43">
        <v>-2.4763586660616291E-2</v>
      </c>
      <c r="R135" s="43">
        <v>-3.0466962560249611E-2</v>
      </c>
      <c r="S135" s="43">
        <v>0.11446721527782081</v>
      </c>
      <c r="T135" s="43">
        <v>0.1741570093359017</v>
      </c>
      <c r="U135" s="43">
        <v>0.1064650959773588</v>
      </c>
      <c r="V135" s="43">
        <v>0.17815395019291369</v>
      </c>
      <c r="W135" s="43">
        <v>-4.608238178807067E-2</v>
      </c>
      <c r="X135" s="43">
        <v>-0.1235654188065808</v>
      </c>
      <c r="Y135" s="43">
        <v>-2.2570487997494389E-2</v>
      </c>
      <c r="Z135" s="43">
        <v>0.14377885384750819</v>
      </c>
      <c r="AA135" s="43">
        <v>1.7445510134360461E-2</v>
      </c>
      <c r="AB135" s="43">
        <v>0.14835902000313639</v>
      </c>
      <c r="AC135" s="43">
        <v>-2.076827427312522E-3</v>
      </c>
      <c r="AD135" s="43">
        <v>5.0660111029161133E-2</v>
      </c>
      <c r="AE135" s="43">
        <v>0.14645762797769549</v>
      </c>
      <c r="AF135" s="43">
        <v>4.1179856813948756E-3</v>
      </c>
      <c r="AG135" s="43">
        <v>0.1694136018649457</v>
      </c>
      <c r="AH135" s="43">
        <v>-8.6613606509193697E-2</v>
      </c>
      <c r="AI135" s="43">
        <v>-5.7796788110324397E-2</v>
      </c>
      <c r="AJ135" s="43">
        <v>5.579375319134261E-2</v>
      </c>
      <c r="AK135" s="43">
        <v>0.39644975823509082</v>
      </c>
      <c r="AL135" s="43">
        <v>0.1119758868343925</v>
      </c>
      <c r="AM135" s="43">
        <v>-3.6502523595644987E-2</v>
      </c>
      <c r="AN135" s="43">
        <v>8.7899486735710575E-2</v>
      </c>
      <c r="AO135" s="43">
        <v>7.2972922351839831E-2</v>
      </c>
      <c r="AP135" s="43">
        <v>-4.0019190269745757E-2</v>
      </c>
      <c r="AQ135" s="43">
        <v>0.12517838362599479</v>
      </c>
      <c r="AR135" s="43">
        <v>-0.1285514199163679</v>
      </c>
      <c r="AS135" s="43">
        <v>-0.1057279496310901</v>
      </c>
      <c r="AT135" s="43">
        <v>-1.414893170064835E-2</v>
      </c>
      <c r="AU135" s="43">
        <v>3.4347243487611312E-2</v>
      </c>
      <c r="AV135" s="43">
        <v>3.9712682116370468E-2</v>
      </c>
      <c r="AW135" s="43">
        <v>-4.0771436213827839E-3</v>
      </c>
      <c r="AX135" s="43">
        <v>4.7807562585454377E-2</v>
      </c>
      <c r="AY135" s="43">
        <v>-7.5236511380149751E-2</v>
      </c>
      <c r="AZ135" s="43">
        <v>2.609145137744839E-2</v>
      </c>
    </row>
    <row r="136" spans="1:52" ht="16" x14ac:dyDescent="0.2">
      <c r="A136" s="41">
        <v>44256</v>
      </c>
      <c r="B136" s="44">
        <v>7.3394604652703421E-3</v>
      </c>
      <c r="C136" s="44">
        <v>5.008840794964442E-4</v>
      </c>
      <c r="D136" s="44">
        <v>3.4154896405748092E-2</v>
      </c>
      <c r="E136" s="44">
        <v>-2.7702922426214079E-2</v>
      </c>
      <c r="F136" s="44">
        <v>0.10621564112674189</v>
      </c>
      <c r="G136" s="44">
        <v>3.7178414851712921E-4</v>
      </c>
      <c r="H136" s="44">
        <v>7.4068824503102704E-2</v>
      </c>
      <c r="I136" s="44">
        <v>2.6365978755287008E-2</v>
      </c>
      <c r="J136" s="44">
        <v>6.4894299327550309E-2</v>
      </c>
      <c r="K136" s="44">
        <v>0.1524404882136603</v>
      </c>
      <c r="L136" s="44">
        <v>4.7899882600202393E-2</v>
      </c>
      <c r="M136" s="44">
        <v>-2.391014869072983E-2</v>
      </c>
      <c r="N136" s="44">
        <v>2.4788239468858331E-2</v>
      </c>
      <c r="O136" s="44">
        <v>5.0291279909859148E-2</v>
      </c>
      <c r="P136" s="44">
        <v>0.12345116504316669</v>
      </c>
      <c r="Q136" s="44">
        <v>4.2936302480486743E-2</v>
      </c>
      <c r="R136" s="44">
        <v>9.8115590108661221E-2</v>
      </c>
      <c r="S136" s="44">
        <v>0.1106622902785253</v>
      </c>
      <c r="T136" s="44">
        <v>4.7821546694647221E-2</v>
      </c>
      <c r="U136" s="44">
        <v>2.0085042633690261E-2</v>
      </c>
      <c r="V136" s="44">
        <v>2.75588325306797E-2</v>
      </c>
      <c r="W136" s="44">
        <v>0.1889865562893864</v>
      </c>
      <c r="X136" s="44">
        <v>3.3180687254585887E-2</v>
      </c>
      <c r="Y136" s="44">
        <v>3.7170346435698283E-2</v>
      </c>
      <c r="Z136" s="44">
        <v>3.4382049825722349E-2</v>
      </c>
      <c r="AA136" s="44">
        <v>8.4888943674450434E-2</v>
      </c>
      <c r="AB136" s="44">
        <v>3.9750131819807688E-2</v>
      </c>
      <c r="AC136" s="44">
        <v>8.7319155405229276E-2</v>
      </c>
      <c r="AD136" s="44">
        <v>1.499377882355768E-2</v>
      </c>
      <c r="AE136" s="44">
        <v>1.027715022092268E-2</v>
      </c>
      <c r="AF136" s="44">
        <v>1.458810007724809E-2</v>
      </c>
      <c r="AG136" s="44">
        <v>-3.6272196834872823E-2</v>
      </c>
      <c r="AH136" s="44">
        <v>2.89873549651769E-2</v>
      </c>
      <c r="AI136" s="44">
        <v>0.16086261313651781</v>
      </c>
      <c r="AJ136" s="44">
        <v>-2.6369246389190689E-2</v>
      </c>
      <c r="AK136" s="44">
        <v>-3.2203399008356559E-2</v>
      </c>
      <c r="AL136" s="44">
        <v>0.14382457426541179</v>
      </c>
      <c r="AM136" s="44">
        <v>9.6332909310814729E-2</v>
      </c>
      <c r="AN136" s="44">
        <v>9.921239982248431E-2</v>
      </c>
      <c r="AO136" s="44">
        <v>7.976488844973062E-2</v>
      </c>
      <c r="AP136" s="44">
        <v>7.6593455383321185E-2</v>
      </c>
      <c r="AQ136" s="44">
        <v>5.3722494313408031E-2</v>
      </c>
      <c r="AR136" s="44">
        <v>-2.1793981989729819E-2</v>
      </c>
      <c r="AS136" s="44">
        <v>5.0092115178637098E-2</v>
      </c>
      <c r="AT136" s="44">
        <v>8.476633506062492E-2</v>
      </c>
      <c r="AU136" s="44">
        <v>2.4247727053356978E-3</v>
      </c>
      <c r="AV136" s="44">
        <v>9.7056943977085419E-2</v>
      </c>
      <c r="AW136" s="44">
        <v>0.1239297621990065</v>
      </c>
      <c r="AX136" s="44">
        <v>7.0159094172547398E-2</v>
      </c>
      <c r="AY136" s="44">
        <v>4.9854520730582497E-2</v>
      </c>
      <c r="AZ136" s="44">
        <v>4.2438632533165148E-2</v>
      </c>
    </row>
    <row r="137" spans="1:52" ht="16" x14ac:dyDescent="0.2">
      <c r="A137" s="39">
        <v>44287</v>
      </c>
      <c r="B137" s="43">
        <v>7.6217742622968876E-2</v>
      </c>
      <c r="C137" s="43">
        <v>5.6817145553094139E-3</v>
      </c>
      <c r="D137" s="43">
        <v>6.9356504531960184E-2</v>
      </c>
      <c r="E137" s="43">
        <v>1.1569048247770389E-2</v>
      </c>
      <c r="F137" s="43">
        <v>-3.6855378261923311E-2</v>
      </c>
      <c r="G137" s="43">
        <v>0.1206627370956834</v>
      </c>
      <c r="H137" s="43">
        <v>-1.1768986809104759E-2</v>
      </c>
      <c r="I137" s="43">
        <v>4.2456682059509809E-2</v>
      </c>
      <c r="J137" s="43">
        <v>5.7895408384394331E-2</v>
      </c>
      <c r="K137" s="43">
        <v>-8.4127538494460641E-3</v>
      </c>
      <c r="L137" s="43">
        <v>-1.6413738883022781E-2</v>
      </c>
      <c r="M137" s="43">
        <v>8.1291195294694862E-3</v>
      </c>
      <c r="N137" s="43">
        <v>4.6947050591603652E-2</v>
      </c>
      <c r="O137" s="43">
        <v>2.9928103696681418E-3</v>
      </c>
      <c r="P137" s="43">
        <v>2.0993194391023321E-2</v>
      </c>
      <c r="Q137" s="43">
        <v>8.9862800926672426E-2</v>
      </c>
      <c r="R137" s="43">
        <v>-0.1047838228453232</v>
      </c>
      <c r="S137" s="43">
        <v>5.4543745877882348E-2</v>
      </c>
      <c r="T137" s="43">
        <v>-7.6155150734436017E-4</v>
      </c>
      <c r="U137" s="43">
        <v>0.14107987880970499</v>
      </c>
      <c r="V137" s="43">
        <v>6.5596273024731255E-2</v>
      </c>
      <c r="W137" s="43">
        <v>6.0344175222814433E-2</v>
      </c>
      <c r="X137" s="43">
        <v>5.0572176450338402E-2</v>
      </c>
      <c r="Y137" s="43">
        <v>-9.8568361972036778E-3</v>
      </c>
      <c r="Z137" s="43">
        <v>1.6329607194197852E-2</v>
      </c>
      <c r="AA137" s="43">
        <v>2.4094086655558119E-2</v>
      </c>
      <c r="AB137" s="43">
        <v>-5.0413118283181291E-3</v>
      </c>
      <c r="AC137" s="43">
        <v>5.3270373542658962E-2</v>
      </c>
      <c r="AD137" s="43">
        <v>0.1082707828633855</v>
      </c>
      <c r="AE137" s="43">
        <v>6.748290523189171E-2</v>
      </c>
      <c r="AF137" s="43">
        <v>6.9601857366003772E-2</v>
      </c>
      <c r="AG137" s="43">
        <v>-2.4260268904751529E-2</v>
      </c>
      <c r="AH137" s="43">
        <v>2.5129064548359059E-2</v>
      </c>
      <c r="AI137" s="43">
        <v>3.4537592258890193E-2</v>
      </c>
      <c r="AJ137" s="43">
        <v>0.1244545350436741</v>
      </c>
      <c r="AK137" s="43">
        <v>-5.8669008040092452E-2</v>
      </c>
      <c r="AL137" s="43">
        <v>5.2441789195629467E-2</v>
      </c>
      <c r="AM137" s="43">
        <v>-8.5387870441068214E-3</v>
      </c>
      <c r="AN137" s="43">
        <v>-5.1357787921142428E-3</v>
      </c>
      <c r="AO137" s="43">
        <v>-1.244166809359382E-2</v>
      </c>
      <c r="AP137" s="43">
        <v>9.9339515059529537E-2</v>
      </c>
      <c r="AQ137" s="43">
        <v>7.2259750196632666E-3</v>
      </c>
      <c r="AR137" s="43">
        <v>4.6836346893072811E-2</v>
      </c>
      <c r="AS137" s="43">
        <v>1.7246401666159539E-2</v>
      </c>
      <c r="AT137" s="43">
        <v>0.1132773016826305</v>
      </c>
      <c r="AU137" s="43">
        <v>7.3317865863882004E-2</v>
      </c>
      <c r="AV137" s="43">
        <v>-3.9598523565407828E-2</v>
      </c>
      <c r="AW137" s="43">
        <v>7.184087553469265E-2</v>
      </c>
      <c r="AX137" s="43">
        <v>7.6221076956202172E-3</v>
      </c>
      <c r="AY137" s="43">
        <v>3.0037428508295601E-2</v>
      </c>
      <c r="AZ137" s="43">
        <v>5.2425321347558507E-2</v>
      </c>
    </row>
    <row r="138" spans="1:52" ht="16" x14ac:dyDescent="0.2">
      <c r="A138" s="41">
        <v>44317</v>
      </c>
      <c r="B138" s="44">
        <v>-5.0497013834084448E-2</v>
      </c>
      <c r="C138" s="44">
        <v>-2.8564246780786399E-2</v>
      </c>
      <c r="D138" s="44">
        <v>-7.3966435706659386E-3</v>
      </c>
      <c r="E138" s="44">
        <v>-9.1020837476738614E-2</v>
      </c>
      <c r="F138" s="44">
        <v>-1.125620875035427E-4</v>
      </c>
      <c r="G138" s="44">
        <v>-7.047025525869377E-2</v>
      </c>
      <c r="H138" s="44">
        <v>5.685845170262982E-2</v>
      </c>
      <c r="I138" s="44">
        <v>2.1193243614123339E-2</v>
      </c>
      <c r="J138" s="44">
        <v>1.6608925193548622E-2</v>
      </c>
      <c r="K138" s="44">
        <v>3.9088705669032553E-2</v>
      </c>
      <c r="L138" s="44">
        <v>1.9312100208644271E-2</v>
      </c>
      <c r="M138" s="44">
        <v>-3.9619368980463587E-2</v>
      </c>
      <c r="N138" s="44">
        <v>-4.0335612773269913E-2</v>
      </c>
      <c r="O138" s="44">
        <v>6.3216600266790657E-2</v>
      </c>
      <c r="P138" s="44">
        <v>9.0982782882482516E-2</v>
      </c>
      <c r="Q138" s="44">
        <v>-8.4078047587804461E-2</v>
      </c>
      <c r="R138" s="44">
        <v>-7.121449294142046E-3</v>
      </c>
      <c r="S138" s="44">
        <v>-1.681907534174742E-3</v>
      </c>
      <c r="T138" s="44">
        <v>7.1646438719505934E-2</v>
      </c>
      <c r="U138" s="44">
        <v>1.4232405993961359E-3</v>
      </c>
      <c r="V138" s="44">
        <v>7.1248208762054288E-2</v>
      </c>
      <c r="W138" s="44">
        <v>-1.4706578854317479E-2</v>
      </c>
      <c r="X138" s="44">
        <v>-1.8739734429507049E-2</v>
      </c>
      <c r="Y138" s="44">
        <v>4.6555396568476633E-2</v>
      </c>
      <c r="Z138" s="44">
        <v>6.7811095127487508E-2</v>
      </c>
      <c r="AA138" s="44">
        <v>2.4268365881820572E-2</v>
      </c>
      <c r="AB138" s="44">
        <v>-4.8990399883700464E-3</v>
      </c>
      <c r="AC138" s="44">
        <v>-3.804617963347301E-3</v>
      </c>
      <c r="AD138" s="44">
        <v>-3.3073857994313838E-2</v>
      </c>
      <c r="AE138" s="44">
        <v>0.10175656093007281</v>
      </c>
      <c r="AF138" s="44">
        <v>-7.627587536909175E-3</v>
      </c>
      <c r="AG138" s="44">
        <v>-2.242356771244047E-2</v>
      </c>
      <c r="AH138" s="44">
        <v>-5.5347849652661478E-2</v>
      </c>
      <c r="AI138" s="44">
        <v>3.5881589396164371E-2</v>
      </c>
      <c r="AJ138" s="44">
        <v>8.2281226456016876E-2</v>
      </c>
      <c r="AK138" s="44">
        <v>0.32744190304778348</v>
      </c>
      <c r="AL138" s="44">
        <v>7.6427223856296864E-3</v>
      </c>
      <c r="AM138" s="44">
        <v>1.071819937966856E-2</v>
      </c>
      <c r="AN138" s="44">
        <v>-1.4822258130407939E-2</v>
      </c>
      <c r="AO138" s="44">
        <v>6.6141745291608434E-2</v>
      </c>
      <c r="AP138" s="44">
        <v>1.1241821561324141E-2</v>
      </c>
      <c r="AQ138" s="44">
        <v>-5.7692197785580213E-2</v>
      </c>
      <c r="AR138" s="44">
        <v>-3.0691710897153501E-2</v>
      </c>
      <c r="AS138" s="44">
        <v>4.3901867663436622E-2</v>
      </c>
      <c r="AT138" s="44">
        <v>3.7300658275827958E-2</v>
      </c>
      <c r="AU138" s="44">
        <v>-4.5285054687508208E-2</v>
      </c>
      <c r="AV138" s="44">
        <v>5.157638696549971E-2</v>
      </c>
      <c r="AW138" s="44">
        <v>3.2899048310261143E-2</v>
      </c>
      <c r="AX138" s="44">
        <v>1.674712627434927E-2</v>
      </c>
      <c r="AY138" s="44">
        <v>1.9139261003897179E-2</v>
      </c>
      <c r="AZ138" s="44">
        <v>5.4864886706069704E-3</v>
      </c>
    </row>
    <row r="139" spans="1:52" ht="16" x14ac:dyDescent="0.2">
      <c r="A139" s="39">
        <v>44348</v>
      </c>
      <c r="B139" s="43">
        <v>9.9109065946621833E-2</v>
      </c>
      <c r="C139" s="43">
        <v>-6.1723919558254181E-3</v>
      </c>
      <c r="D139" s="43">
        <v>0.16064852002322241</v>
      </c>
      <c r="E139" s="43">
        <v>-9.285640506603865E-2</v>
      </c>
      <c r="F139" s="43">
        <v>2.4417774822092619E-2</v>
      </c>
      <c r="G139" s="43">
        <v>6.7354987370939812E-2</v>
      </c>
      <c r="H139" s="43">
        <v>-9.7270490117334796E-2</v>
      </c>
      <c r="I139" s="43">
        <v>-5.5807669407419436E-3</v>
      </c>
      <c r="J139" s="43">
        <v>4.5998969514183363E-2</v>
      </c>
      <c r="K139" s="43">
        <v>1.890403685573139E-3</v>
      </c>
      <c r="L139" s="43">
        <v>9.1528904027333713E-3</v>
      </c>
      <c r="M139" s="43">
        <v>-1.6120825409376541E-2</v>
      </c>
      <c r="N139" s="43">
        <v>-4.0208442843173493E-2</v>
      </c>
      <c r="O139" s="43">
        <v>5.7476367937203676E-3</v>
      </c>
      <c r="P139" s="43">
        <v>3.8585985687528357E-2</v>
      </c>
      <c r="Q139" s="43">
        <v>-0.19201774147245959</v>
      </c>
      <c r="R139" s="43">
        <v>6.6332903786430197E-3</v>
      </c>
      <c r="S139" s="43">
        <v>-8.6884505967629311E-3</v>
      </c>
      <c r="T139" s="43">
        <v>-4.194580580999252E-2</v>
      </c>
      <c r="U139" s="43">
        <v>3.603978442716449E-2</v>
      </c>
      <c r="V139" s="43">
        <v>2.0186951785912791E-2</v>
      </c>
      <c r="W139" s="43">
        <v>5.1811384610691569E-3</v>
      </c>
      <c r="X139" s="43">
        <v>4.1775898689506707E-3</v>
      </c>
      <c r="Y139" s="43">
        <v>-2.6647096548811481E-2</v>
      </c>
      <c r="Z139" s="43">
        <v>-5.2971468145217693E-2</v>
      </c>
      <c r="AA139" s="43">
        <v>-1.3967753764814409E-2</v>
      </c>
      <c r="AB139" s="43">
        <v>3.9481748613583454E-3</v>
      </c>
      <c r="AC139" s="43">
        <v>-1.2399113533066001E-2</v>
      </c>
      <c r="AD139" s="43">
        <v>-1.4485144478801001E-2</v>
      </c>
      <c r="AE139" s="43">
        <v>8.1362214647140441E-3</v>
      </c>
      <c r="AF139" s="43">
        <v>8.4988772833542781E-2</v>
      </c>
      <c r="AG139" s="43">
        <v>9.9831675097790118E-3</v>
      </c>
      <c r="AH139" s="43">
        <v>6.1094801657946007E-3</v>
      </c>
      <c r="AI139" s="43">
        <v>5.7516130760711937E-2</v>
      </c>
      <c r="AJ139" s="43">
        <v>0.23162219764433309</v>
      </c>
      <c r="AK139" s="43">
        <v>9.1100153844303255E-2</v>
      </c>
      <c r="AL139" s="43">
        <v>5.498640560489565E-2</v>
      </c>
      <c r="AM139" s="43">
        <v>5.9324456027942674E-4</v>
      </c>
      <c r="AN139" s="43">
        <v>-3.3750845120569251E-3</v>
      </c>
      <c r="AO139" s="43">
        <v>-2.4372224862317719E-2</v>
      </c>
      <c r="AP139" s="43">
        <v>1.9432144081095171E-2</v>
      </c>
      <c r="AQ139" s="43">
        <v>-8.332444747952239E-2</v>
      </c>
      <c r="AR139" s="43">
        <v>6.7781970503748346E-2</v>
      </c>
      <c r="AS139" s="43">
        <v>0.11167724952135891</v>
      </c>
      <c r="AT139" s="43">
        <v>-3.9078833106456427E-2</v>
      </c>
      <c r="AU139" s="43">
        <v>-1.776903352094461E-3</v>
      </c>
      <c r="AV139" s="43">
        <v>1.306487322379013E-2</v>
      </c>
      <c r="AW139" s="43">
        <v>-2.430913546277369E-2</v>
      </c>
      <c r="AX139" s="43">
        <v>-2.1358862817688951E-2</v>
      </c>
      <c r="AY139" s="43">
        <v>-7.1108675306598146E-3</v>
      </c>
      <c r="AZ139" s="43">
        <v>2.221400956583475E-2</v>
      </c>
    </row>
    <row r="140" spans="1:52" ht="16" x14ac:dyDescent="0.2">
      <c r="A140" s="41">
        <v>44378</v>
      </c>
      <c r="B140" s="44">
        <v>6.4982598246920986E-2</v>
      </c>
      <c r="C140" s="44">
        <v>4.75335434810229E-2</v>
      </c>
      <c r="D140" s="44">
        <v>6.1454117434205591E-2</v>
      </c>
      <c r="E140" s="44">
        <v>-5.1581494642501946E-3</v>
      </c>
      <c r="F140" s="44">
        <v>-9.066745165476231E-3</v>
      </c>
      <c r="G140" s="44">
        <v>-3.2722282722282732E-2</v>
      </c>
      <c r="H140" s="44">
        <v>-4.4894974806121701E-2</v>
      </c>
      <c r="I140" s="44">
        <v>3.6177290671090427E-2</v>
      </c>
      <c r="J140" s="44">
        <v>8.8092313324855898E-2</v>
      </c>
      <c r="K140" s="44">
        <v>5.2000412091759207E-2</v>
      </c>
      <c r="L140" s="44">
        <v>-2.7973964624935291E-2</v>
      </c>
      <c r="M140" s="44">
        <v>1.422194652999309E-3</v>
      </c>
      <c r="N140" s="44">
        <v>7.2146600565351937E-2</v>
      </c>
      <c r="O140" s="44">
        <v>4.8316857386860868E-2</v>
      </c>
      <c r="P140" s="44">
        <v>-0.1110291330162239</v>
      </c>
      <c r="Q140" s="44">
        <v>-7.5192040807631311E-2</v>
      </c>
      <c r="R140" s="44">
        <v>0.1063430325473413</v>
      </c>
      <c r="S140" s="44">
        <v>4.7896569948763013E-2</v>
      </c>
      <c r="T140" s="44">
        <v>-3.7889832129298202E-2</v>
      </c>
      <c r="U140" s="44">
        <v>0.10350590057480361</v>
      </c>
      <c r="V140" s="44">
        <v>-1.225185586502597E-2</v>
      </c>
      <c r="W140" s="44">
        <v>2.9163323455005049E-2</v>
      </c>
      <c r="X140" s="44">
        <v>-8.0589551891628308E-2</v>
      </c>
      <c r="Y140" s="44">
        <v>4.5283337042029137E-2</v>
      </c>
      <c r="Z140" s="44">
        <v>-1.8550201856261331E-2</v>
      </c>
      <c r="AA140" s="44">
        <v>5.3964074736175149E-2</v>
      </c>
      <c r="AB140" s="44">
        <v>-2.7771128632301249E-2</v>
      </c>
      <c r="AC140" s="44">
        <v>5.0738147612806372E-2</v>
      </c>
      <c r="AD140" s="44">
        <v>5.7842575909026639E-2</v>
      </c>
      <c r="AE140" s="44">
        <v>5.4471447866607743E-2</v>
      </c>
      <c r="AF140" s="44">
        <v>5.1716696404924489E-2</v>
      </c>
      <c r="AG140" s="44">
        <v>-8.7079180040662618E-2</v>
      </c>
      <c r="AH140" s="44">
        <v>6.3046279071005573E-2</v>
      </c>
      <c r="AI140" s="44">
        <v>-2.1325174617507599E-2</v>
      </c>
      <c r="AJ140" s="44">
        <v>-2.517184126494465E-2</v>
      </c>
      <c r="AK140" s="44">
        <v>-0.1483622036749476</v>
      </c>
      <c r="AL140" s="44">
        <v>-4.9439821240164661E-2</v>
      </c>
      <c r="AM140" s="44">
        <v>6.0731725763904398E-2</v>
      </c>
      <c r="AN140" s="44">
        <v>1.6020445884852519E-2</v>
      </c>
      <c r="AO140" s="44">
        <v>1.211202475019468E-2</v>
      </c>
      <c r="AP140" s="44">
        <v>7.1195477043180855E-2</v>
      </c>
      <c r="AQ140" s="44">
        <v>6.6558891512782603E-2</v>
      </c>
      <c r="AR140" s="44">
        <v>4.8065020398839087E-2</v>
      </c>
      <c r="AS140" s="44">
        <v>2.8771387653659719E-2</v>
      </c>
      <c r="AT140" s="44">
        <v>6.8196157438019656E-2</v>
      </c>
      <c r="AU140" s="44">
        <v>2.06170619961723E-2</v>
      </c>
      <c r="AV140" s="44">
        <v>-3.2079156656678038E-3</v>
      </c>
      <c r="AW140" s="44">
        <v>2.9417730508609189E-2</v>
      </c>
      <c r="AX140" s="44">
        <v>-5.3200467423726314E-3</v>
      </c>
      <c r="AY140" s="44">
        <v>1.084921153239859E-2</v>
      </c>
      <c r="AZ140" s="44">
        <v>2.2748054828388709E-2</v>
      </c>
    </row>
    <row r="141" spans="1:52" ht="16" x14ac:dyDescent="0.2">
      <c r="A141" s="39">
        <v>44409</v>
      </c>
      <c r="B141" s="43">
        <v>4.2488895725244953E-2</v>
      </c>
      <c r="C141" s="43">
        <v>4.455286923894719E-2</v>
      </c>
      <c r="D141" s="43">
        <v>6.7676925170543578E-2</v>
      </c>
      <c r="E141" s="43">
        <v>3.6064030653305323E-2</v>
      </c>
      <c r="F141" s="43">
        <v>-5.9072882339102573E-2</v>
      </c>
      <c r="G141" s="43">
        <v>4.3034169499993842E-2</v>
      </c>
      <c r="H141" s="43">
        <v>1.9927483485522091E-2</v>
      </c>
      <c r="I141" s="43">
        <v>3.1446394404752498E-2</v>
      </c>
      <c r="J141" s="43">
        <v>5.9969324590184669E-2</v>
      </c>
      <c r="K141" s="43">
        <v>6.5920387563965788E-2</v>
      </c>
      <c r="L141" s="43">
        <v>-3.6689172816624538E-2</v>
      </c>
      <c r="M141" s="43">
        <v>2.9996589935140872E-2</v>
      </c>
      <c r="N141" s="43">
        <v>2.0513299623320821E-2</v>
      </c>
      <c r="O141" s="43">
        <v>5.078188015485674E-2</v>
      </c>
      <c r="P141" s="43">
        <v>-7.3291534744927445E-2</v>
      </c>
      <c r="Q141" s="43">
        <v>0.13768543871224881</v>
      </c>
      <c r="R141" s="43">
        <v>-1.4236537023973759E-2</v>
      </c>
      <c r="S141" s="43">
        <v>2.1833373677294429E-2</v>
      </c>
      <c r="T141" s="43">
        <v>1.7470999554782152E-2</v>
      </c>
      <c r="U141" s="43">
        <v>7.400920787509202E-2</v>
      </c>
      <c r="V141" s="43">
        <v>0.1084058616590404</v>
      </c>
      <c r="W141" s="43">
        <v>-6.1244081268233552E-3</v>
      </c>
      <c r="X141" s="43">
        <v>-1.1118301581341189E-2</v>
      </c>
      <c r="Y141" s="43">
        <v>1.137508084279437E-2</v>
      </c>
      <c r="Z141" s="43">
        <v>5.3827660434030873E-2</v>
      </c>
      <c r="AA141" s="43">
        <v>-1.262486081337566E-2</v>
      </c>
      <c r="AB141" s="43">
        <v>2.722095547275449E-2</v>
      </c>
      <c r="AC141" s="43">
        <v>-1.626695935323352E-2</v>
      </c>
      <c r="AD141" s="43">
        <v>1.6525730593453639E-2</v>
      </c>
      <c r="AE141" s="43">
        <v>8.8038810369378773E-2</v>
      </c>
      <c r="AF141" s="43">
        <v>6.159092644864983E-2</v>
      </c>
      <c r="AG141" s="43">
        <v>-5.0012974312474867E-2</v>
      </c>
      <c r="AH141" s="43">
        <v>8.3109741865798226E-2</v>
      </c>
      <c r="AI141" s="43">
        <v>0.11735174923496811</v>
      </c>
      <c r="AJ141" s="43">
        <v>0.14820970655746479</v>
      </c>
      <c r="AK141" s="43">
        <v>-7.2398191672424006E-2</v>
      </c>
      <c r="AL141" s="43">
        <v>1.0583131701322751E-2</v>
      </c>
      <c r="AM141" s="43">
        <v>1.1250302986609559E-3</v>
      </c>
      <c r="AN141" s="43">
        <v>-4.5988412850700211E-2</v>
      </c>
      <c r="AO141" s="43">
        <v>0.12715032339688381</v>
      </c>
      <c r="AP141" s="43">
        <v>5.1702514603281013E-2</v>
      </c>
      <c r="AQ141" s="43">
        <v>0.17045202386791591</v>
      </c>
      <c r="AR141" s="43">
        <v>-2.0760698915045839E-2</v>
      </c>
      <c r="AS141" s="43">
        <v>0.1719256458924443</v>
      </c>
      <c r="AT141" s="43">
        <v>4.5341338787560297E-2</v>
      </c>
      <c r="AU141" s="43">
        <v>6.0684059496697529E-2</v>
      </c>
      <c r="AV141" s="43">
        <v>1.521317724001658E-3</v>
      </c>
      <c r="AW141" s="43">
        <v>9.824722591123658E-3</v>
      </c>
      <c r="AX141" s="43">
        <v>-3.9637557780418664E-3</v>
      </c>
      <c r="AY141" s="43">
        <v>4.27569503440004E-2</v>
      </c>
      <c r="AZ141" s="43">
        <v>2.899041625543863E-2</v>
      </c>
    </row>
    <row r="142" spans="1:52" ht="16" x14ac:dyDescent="0.2">
      <c r="A142" s="41">
        <v>44440</v>
      </c>
      <c r="B142" s="44">
        <v>-6.8036390980480532E-2</v>
      </c>
      <c r="C142" s="44">
        <v>-6.5205285448289185E-2</v>
      </c>
      <c r="D142" s="44">
        <v>-0.1325599516132934</v>
      </c>
      <c r="E142" s="44">
        <v>-0.1131005157477596</v>
      </c>
      <c r="F142" s="44">
        <v>-5.7109862887288247E-2</v>
      </c>
      <c r="G142" s="44">
        <v>-5.3518108762925842E-2</v>
      </c>
      <c r="H142" s="44">
        <v>-8.9628728937923396E-2</v>
      </c>
      <c r="I142" s="44">
        <v>-7.8279279935059232E-2</v>
      </c>
      <c r="J142" s="44">
        <v>-1.3479954447260131E-2</v>
      </c>
      <c r="K142" s="44">
        <v>-7.7770116644471199E-2</v>
      </c>
      <c r="L142" s="44">
        <v>4.8361931922349173E-2</v>
      </c>
      <c r="M142" s="44">
        <v>-6.6905606892200709E-2</v>
      </c>
      <c r="N142" s="44">
        <v>-7.2309352042170483E-2</v>
      </c>
      <c r="O142" s="44">
        <v>-0.1071091409513583</v>
      </c>
      <c r="P142" s="44">
        <v>0.1888328872310974</v>
      </c>
      <c r="Q142" s="44">
        <v>0.1027647003398104</v>
      </c>
      <c r="R142" s="44">
        <v>-2.3530030812903609E-2</v>
      </c>
      <c r="S142" s="44">
        <v>-2.136686297367851E-2</v>
      </c>
      <c r="T142" s="44">
        <v>-2.1818499620373522E-2</v>
      </c>
      <c r="U142" s="44">
        <v>-7.616919300338143E-2</v>
      </c>
      <c r="V142" s="44">
        <v>-8.5801950256382487E-2</v>
      </c>
      <c r="W142" s="44">
        <v>1.1493531452837489E-2</v>
      </c>
      <c r="X142" s="44">
        <v>-0.1007974807138097</v>
      </c>
      <c r="Y142" s="44">
        <v>-6.717478220579487E-2</v>
      </c>
      <c r="Z142" s="44">
        <v>2.3382426233619968E-2</v>
      </c>
      <c r="AA142" s="44">
        <v>-6.1161350279293591E-2</v>
      </c>
      <c r="AB142" s="44">
        <v>-7.86644914349518E-2</v>
      </c>
      <c r="AC142" s="44">
        <v>1.537084252183663E-2</v>
      </c>
      <c r="AD142" s="44">
        <v>-5.6296119414479429E-2</v>
      </c>
      <c r="AE142" s="44">
        <v>-6.8179503203762204E-2</v>
      </c>
      <c r="AF142" s="44">
        <v>-6.6118691871512869E-2</v>
      </c>
      <c r="AG142" s="44">
        <v>-3.5559979791569551E-2</v>
      </c>
      <c r="AH142" s="44">
        <v>-6.5126529545241341E-2</v>
      </c>
      <c r="AI142" s="44">
        <v>9.3329345877477543E-3</v>
      </c>
      <c r="AJ142" s="44">
        <v>-7.4558758685612014E-2</v>
      </c>
      <c r="AK142" s="44">
        <v>8.2926787664416635E-2</v>
      </c>
      <c r="AL142" s="44">
        <v>0.10415082185836889</v>
      </c>
      <c r="AM142" s="44">
        <v>-1.8189412789755059E-2</v>
      </c>
      <c r="AN142" s="44">
        <v>-5.7470979761128582E-2</v>
      </c>
      <c r="AO142" s="44">
        <v>-9.5554055046057296E-2</v>
      </c>
      <c r="AP142" s="44">
        <v>-6.4119451601489352E-2</v>
      </c>
      <c r="AQ142" s="44">
        <v>-5.1838805429667227E-2</v>
      </c>
      <c r="AR142" s="44">
        <v>-0.1166361532229256</v>
      </c>
      <c r="AS142" s="44">
        <v>-0.1013070176201035</v>
      </c>
      <c r="AT142" s="44">
        <v>-7.8835375080224424E-2</v>
      </c>
      <c r="AU142" s="44">
        <v>-9.2684109953315663E-2</v>
      </c>
      <c r="AV142" s="44">
        <v>6.8097918891574238E-3</v>
      </c>
      <c r="AW142" s="44">
        <v>-5.8035633536764657E-2</v>
      </c>
      <c r="AX142" s="44">
        <v>-9.6061317128620316E-2</v>
      </c>
      <c r="AY142" s="44">
        <v>-5.887923870781564E-2</v>
      </c>
      <c r="AZ142" s="44">
        <v>-4.7569168801901103E-2</v>
      </c>
    </row>
    <row r="143" spans="1:52" ht="16" x14ac:dyDescent="0.2">
      <c r="A143" s="39">
        <v>44470</v>
      </c>
      <c r="B143" s="43">
        <v>5.8657476419717407E-2</v>
      </c>
      <c r="C143" s="43">
        <v>9.5298849837540223E-2</v>
      </c>
      <c r="D143" s="43">
        <v>0.1296463879084824</v>
      </c>
      <c r="E143" s="43">
        <v>0.1724137931034482</v>
      </c>
      <c r="F143" s="43">
        <v>-2.6710550319042011E-2</v>
      </c>
      <c r="G143" s="43">
        <v>2.6602457596643259E-2</v>
      </c>
      <c r="H143" s="43">
        <v>6.8585975361189266E-2</v>
      </c>
      <c r="I143" s="43">
        <v>-7.6391333019780294E-2</v>
      </c>
      <c r="J143" s="43">
        <v>9.5660850360872685E-2</v>
      </c>
      <c r="K143" s="43">
        <v>3.5239493534743323E-2</v>
      </c>
      <c r="L143" s="43">
        <v>0.12853642297992041</v>
      </c>
      <c r="M143" s="43">
        <v>-5.9110930303152287E-4</v>
      </c>
      <c r="N143" s="43">
        <v>6.51901815592133E-2</v>
      </c>
      <c r="O143" s="43">
        <v>2.983016143381478E-2</v>
      </c>
      <c r="P143" s="43">
        <v>0.15714890095837039</v>
      </c>
      <c r="Q143" s="43">
        <v>1.7502405388648109E-2</v>
      </c>
      <c r="R143" s="43">
        <v>6.2229576381684908E-2</v>
      </c>
      <c r="S143" s="43">
        <v>4.0491216543329323E-2</v>
      </c>
      <c r="T143" s="43">
        <v>1.7858838222157839E-2</v>
      </c>
      <c r="U143" s="43">
        <v>0.10749880185706109</v>
      </c>
      <c r="V143" s="43">
        <v>9.3431685545574572E-2</v>
      </c>
      <c r="W143" s="43">
        <v>0.1324557067606682</v>
      </c>
      <c r="X143" s="43">
        <v>-2.6170332281324371E-2</v>
      </c>
      <c r="Y143" s="43">
        <v>8.5448552481770523E-3</v>
      </c>
      <c r="Z143" s="43">
        <v>4.4130561573819227E-2</v>
      </c>
      <c r="AA143" s="43">
        <v>7.432816027073863E-2</v>
      </c>
      <c r="AB143" s="43">
        <v>-4.0318794736908581E-2</v>
      </c>
      <c r="AC143" s="43">
        <v>1.8414962800762599E-2</v>
      </c>
      <c r="AD143" s="43">
        <v>-4.3797219217879928E-2</v>
      </c>
      <c r="AE143" s="43">
        <v>6.3520305345083461E-2</v>
      </c>
      <c r="AF143" s="43">
        <v>0.17629127632355729</v>
      </c>
      <c r="AG143" s="43">
        <v>-2.6486588348837881E-2</v>
      </c>
      <c r="AH143" s="43">
        <v>8.6729719817286721E-2</v>
      </c>
      <c r="AI143" s="43">
        <v>4.2286882209130461E-4</v>
      </c>
      <c r="AJ143" s="43">
        <v>0.2341667974520816</v>
      </c>
      <c r="AK143" s="43">
        <v>2.1021073052599929E-2</v>
      </c>
      <c r="AL143" s="43">
        <v>0.11297321465436599</v>
      </c>
      <c r="AM143" s="43">
        <v>2.915878529613947E-2</v>
      </c>
      <c r="AN143" s="43">
        <v>6.0689219066394802E-2</v>
      </c>
      <c r="AO143" s="43">
        <v>-4.6955270575873009E-2</v>
      </c>
      <c r="AP143" s="43">
        <v>0.15570432434669959</v>
      </c>
      <c r="AQ143" s="43">
        <v>7.757527403949549E-2</v>
      </c>
      <c r="AR143" s="43">
        <v>3.1477570172099727E-2</v>
      </c>
      <c r="AS143" s="43">
        <v>5.7437688182579327E-2</v>
      </c>
      <c r="AT143" s="43">
        <v>0.13184128531999151</v>
      </c>
      <c r="AU143" s="43">
        <v>-7.4266230118225094E-3</v>
      </c>
      <c r="AV143" s="43">
        <v>-1.8601361362558969E-2</v>
      </c>
      <c r="AW143" s="43">
        <v>0.17845634903776711</v>
      </c>
      <c r="AX143" s="43">
        <v>0.2315695543491596</v>
      </c>
      <c r="AY143" s="43">
        <v>7.2033366830340784E-2</v>
      </c>
      <c r="AZ143" s="43">
        <v>6.9143836400606506E-2</v>
      </c>
    </row>
    <row r="144" spans="1:52" ht="16" x14ac:dyDescent="0.2">
      <c r="A144" s="41">
        <v>44501</v>
      </c>
      <c r="B144" s="44">
        <v>0.1050817685333567</v>
      </c>
      <c r="C144" s="44">
        <v>-2.4206862995682751E-2</v>
      </c>
      <c r="D144" s="44">
        <v>2.996800337253136E-2</v>
      </c>
      <c r="E144" s="44">
        <v>-6.7165762345421154E-2</v>
      </c>
      <c r="F144" s="44">
        <v>-3.1020278994993711E-2</v>
      </c>
      <c r="G144" s="44">
        <v>3.9923701306487043E-2</v>
      </c>
      <c r="H144" s="44">
        <v>-5.2252278251017859E-2</v>
      </c>
      <c r="I144" s="44">
        <v>-2.8193516795975811E-2</v>
      </c>
      <c r="J144" s="44">
        <v>9.7326572501393427E-2</v>
      </c>
      <c r="K144" s="44">
        <v>-2.0189508901565009E-2</v>
      </c>
      <c r="L144" s="44">
        <v>-2.7553893683238679E-3</v>
      </c>
      <c r="M144" s="44">
        <v>-0.14295852517661159</v>
      </c>
      <c r="N144" s="44">
        <v>-3.3749817462838121E-3</v>
      </c>
      <c r="O144" s="44">
        <v>-8.9717935972876695E-2</v>
      </c>
      <c r="P144" s="44">
        <v>-5.905267376511425E-2</v>
      </c>
      <c r="Q144" s="44">
        <v>-0.219432787686207</v>
      </c>
      <c r="R144" s="44">
        <v>7.7812021830439004E-2</v>
      </c>
      <c r="S144" s="44">
        <v>-6.7965538815361493E-2</v>
      </c>
      <c r="T144" s="44">
        <v>-9.4211951585609577E-2</v>
      </c>
      <c r="U144" s="44">
        <v>-4.1530913529435172E-2</v>
      </c>
      <c r="V144" s="44">
        <v>-7.8287137177339372E-2</v>
      </c>
      <c r="W144" s="44">
        <v>7.7661998468783411E-2</v>
      </c>
      <c r="X144" s="44">
        <v>1.104804160468786E-2</v>
      </c>
      <c r="Y144" s="44">
        <v>-3.6398839085750367E-2</v>
      </c>
      <c r="Z144" s="44">
        <v>-6.5100931955879071E-2</v>
      </c>
      <c r="AA144" s="44">
        <v>-6.2325079172845799E-2</v>
      </c>
      <c r="AB144" s="44">
        <v>1.0589772348097439E-3</v>
      </c>
      <c r="AC144" s="44">
        <v>1.653635631564621E-3</v>
      </c>
      <c r="AD144" s="44">
        <v>-0.1097949406504624</v>
      </c>
      <c r="AE144" s="44">
        <v>-7.7446900105506034E-2</v>
      </c>
      <c r="AF144" s="44">
        <v>-1.2825894806567371E-3</v>
      </c>
      <c r="AG144" s="44">
        <v>0.21562961635460831</v>
      </c>
      <c r="AH144" s="44">
        <v>2.1496884660650691E-2</v>
      </c>
      <c r="AI144" s="44">
        <v>-4.70309353922016E-3</v>
      </c>
      <c r="AJ144" s="44">
        <v>0.27805382114694971</v>
      </c>
      <c r="AK144" s="44">
        <v>-0.21397064113699291</v>
      </c>
      <c r="AL144" s="44">
        <v>-5.9415291946259607E-2</v>
      </c>
      <c r="AM144" s="44">
        <v>1.111993439815739E-2</v>
      </c>
      <c r="AN144" s="44">
        <v>2.1636020040162629E-2</v>
      </c>
      <c r="AO144" s="44">
        <v>1.6936125550822249E-2</v>
      </c>
      <c r="AP144" s="44">
        <v>3.9942106733359413E-2</v>
      </c>
      <c r="AQ144" s="44">
        <v>-4.5943736463652803E-2</v>
      </c>
      <c r="AR144" s="44">
        <v>0.35718624950691541</v>
      </c>
      <c r="AS144" s="44">
        <v>-5.3287064177176546E-3</v>
      </c>
      <c r="AT144" s="44">
        <v>4.7938220392842013E-2</v>
      </c>
      <c r="AU144" s="44">
        <v>6.3660766123800672E-2</v>
      </c>
      <c r="AV144" s="44">
        <v>2.6082682302345891E-2</v>
      </c>
      <c r="AW144" s="44">
        <v>-3.5290164084060938E-2</v>
      </c>
      <c r="AX144" s="44">
        <v>-2.3860778941012791E-2</v>
      </c>
      <c r="AY144" s="44">
        <v>-5.8827337491308529E-2</v>
      </c>
      <c r="AZ144" s="44">
        <v>-8.3337061847461591E-3</v>
      </c>
    </row>
    <row r="145" spans="1:52" ht="16" x14ac:dyDescent="0.2">
      <c r="A145" s="39">
        <v>44531</v>
      </c>
      <c r="B145" s="43">
        <v>7.4228697878491623E-2</v>
      </c>
      <c r="C145" s="43">
        <v>0.1190267526861211</v>
      </c>
      <c r="D145" s="43">
        <v>-0.1534522382230892</v>
      </c>
      <c r="E145" s="43">
        <v>7.2116496531695828E-2</v>
      </c>
      <c r="F145" s="43">
        <v>0.13118462689695681</v>
      </c>
      <c r="G145" s="43">
        <v>-4.9251968788284861E-2</v>
      </c>
      <c r="H145" s="43">
        <v>6.9252701170277708E-2</v>
      </c>
      <c r="I145" s="43">
        <v>7.003099839096194E-3</v>
      </c>
      <c r="J145" s="43">
        <v>5.2504961809105577E-2</v>
      </c>
      <c r="K145" s="43">
        <v>0.15554355168433351</v>
      </c>
      <c r="L145" s="43">
        <v>3.9691603258380059E-2</v>
      </c>
      <c r="M145" s="43">
        <v>6.8944038394575413E-2</v>
      </c>
      <c r="N145" s="43">
        <v>6.1573980026622843E-2</v>
      </c>
      <c r="O145" s="43">
        <v>5.8401682343255157E-2</v>
      </c>
      <c r="P145" s="43">
        <v>4.477137762396155E-2</v>
      </c>
      <c r="Q145" s="43">
        <v>8.8743281112046768E-2</v>
      </c>
      <c r="R145" s="43">
        <v>7.5270255492523752E-2</v>
      </c>
      <c r="S145" s="43">
        <v>0.1031911913867947</v>
      </c>
      <c r="T145" s="43">
        <v>-4.6033223927380851E-3</v>
      </c>
      <c r="U145" s="43">
        <v>2.0821256353305669E-2</v>
      </c>
      <c r="V145" s="43">
        <v>9.3934235636796704E-3</v>
      </c>
      <c r="W145" s="43">
        <v>4.0229566511277737E-2</v>
      </c>
      <c r="X145" s="43">
        <v>8.3874781494234663E-2</v>
      </c>
      <c r="Y145" s="43">
        <v>9.7094517906215927E-2</v>
      </c>
      <c r="Z145" s="43">
        <v>-3.021950372224524E-3</v>
      </c>
      <c r="AA145" s="43">
        <v>0.12888476415299999</v>
      </c>
      <c r="AB145" s="43">
        <v>4.4529978948922189E-2</v>
      </c>
      <c r="AC145" s="43">
        <v>9.5952503545944534E-2</v>
      </c>
      <c r="AD145" s="43">
        <v>-2.4283041841460681E-2</v>
      </c>
      <c r="AE145" s="43">
        <v>3.5224596367459338E-2</v>
      </c>
      <c r="AF145" s="43">
        <v>1.733297002955014E-2</v>
      </c>
      <c r="AG145" s="43">
        <v>0.1101110989782272</v>
      </c>
      <c r="AH145" s="43">
        <v>7.5824172083522878E-2</v>
      </c>
      <c r="AI145" s="43">
        <v>3.499099165278774E-2</v>
      </c>
      <c r="AJ145" s="43">
        <v>-9.9810290640548138E-2</v>
      </c>
      <c r="AK145" s="43">
        <v>5.7998209875623541E-2</v>
      </c>
      <c r="AL145" s="43">
        <v>-1.8048238643942779E-2</v>
      </c>
      <c r="AM145" s="43">
        <v>0.13141466712758779</v>
      </c>
      <c r="AN145" s="43">
        <v>5.3168198155348227E-2</v>
      </c>
      <c r="AO145" s="43">
        <v>0.42694930560453681</v>
      </c>
      <c r="AP145" s="43">
        <v>0.121256019423192</v>
      </c>
      <c r="AQ145" s="43">
        <v>2.1518608336067221E-2</v>
      </c>
      <c r="AR145" s="43">
        <v>1.6622042059340151E-2</v>
      </c>
      <c r="AS145" s="43">
        <v>-7.8707530131647552E-3</v>
      </c>
      <c r="AT145" s="43">
        <v>6.3156566504818157E-2</v>
      </c>
      <c r="AU145" s="43">
        <v>9.3947849384949045E-2</v>
      </c>
      <c r="AV145" s="43">
        <v>-2.0273389196572511E-2</v>
      </c>
      <c r="AW145" s="43">
        <v>0.1340728692690405</v>
      </c>
      <c r="AX145" s="43">
        <v>7.4235048565313599E-2</v>
      </c>
      <c r="AY145" s="43">
        <v>3.3012718056937951E-2</v>
      </c>
      <c r="AZ145" s="43">
        <v>4.3612913462064862E-2</v>
      </c>
    </row>
    <row r="146" spans="1:52" ht="16" x14ac:dyDescent="0.2">
      <c r="A146" s="41">
        <v>44562</v>
      </c>
      <c r="B146" s="44">
        <v>-1.5712248144505111E-2</v>
      </c>
      <c r="C146" s="44">
        <v>-9.1163705137991657E-2</v>
      </c>
      <c r="D146" s="44">
        <v>-5.7771681844371203E-2</v>
      </c>
      <c r="E146" s="44">
        <v>-0.14629451387720019</v>
      </c>
      <c r="F146" s="44">
        <v>9.6459606248158192E-3</v>
      </c>
      <c r="G146" s="44">
        <v>-0.10282991021845669</v>
      </c>
      <c r="H146" s="44">
        <v>-2.0324890433431438E-2</v>
      </c>
      <c r="I146" s="44">
        <v>-1.837511310313289E-3</v>
      </c>
      <c r="J146" s="44">
        <v>-0.1102166218320827</v>
      </c>
      <c r="K146" s="44">
        <v>-0.1163318667629191</v>
      </c>
      <c r="L146" s="44">
        <v>0.1191305873484774</v>
      </c>
      <c r="M146" s="44">
        <v>-7.6957920062475704E-2</v>
      </c>
      <c r="N146" s="44">
        <v>-0.19242071751335069</v>
      </c>
      <c r="O146" s="44">
        <v>-1.0971157994984489E-2</v>
      </c>
      <c r="P146" s="44">
        <v>0.26420713408133573</v>
      </c>
      <c r="Q146" s="44">
        <v>-9.8468434581231445E-3</v>
      </c>
      <c r="R146" s="44">
        <v>-0.15156720436058041</v>
      </c>
      <c r="S146" s="44">
        <v>2.3157593623334579E-2</v>
      </c>
      <c r="T146" s="44">
        <v>1.0577204546891041E-4</v>
      </c>
      <c r="U146" s="44">
        <v>-6.5919111313399004E-2</v>
      </c>
      <c r="V146" s="44">
        <v>-7.2853216389617836E-2</v>
      </c>
      <c r="W146" s="44">
        <v>-0.1157319394400564</v>
      </c>
      <c r="X146" s="44">
        <v>1.267030362183141E-2</v>
      </c>
      <c r="Y146" s="44">
        <v>7.1317323931820997E-3</v>
      </c>
      <c r="Z146" s="44">
        <v>-5.5947452072007693E-2</v>
      </c>
      <c r="AA146" s="44">
        <v>3.0400278847376949E-2</v>
      </c>
      <c r="AB146" s="44">
        <v>-0.16940779679413959</v>
      </c>
      <c r="AC146" s="44">
        <v>-3.2155524900354671E-2</v>
      </c>
      <c r="AD146" s="44">
        <v>3.8688233480410622E-4</v>
      </c>
      <c r="AE146" s="44">
        <v>5.1900572290157099E-2</v>
      </c>
      <c r="AF146" s="44">
        <v>-7.5344906568084125E-2</v>
      </c>
      <c r="AG146" s="44">
        <v>-0.11680093250585059</v>
      </c>
      <c r="AH146" s="44">
        <v>-0.16323909895177741</v>
      </c>
      <c r="AI146" s="44">
        <v>-5.4469034440884363E-2</v>
      </c>
      <c r="AJ146" s="44">
        <v>-0.16745443481132399</v>
      </c>
      <c r="AK146" s="44">
        <v>0.15207774089656351</v>
      </c>
      <c r="AL146" s="44">
        <v>4.8975756096362399E-2</v>
      </c>
      <c r="AM146" s="44">
        <v>-1.383825422343621E-2</v>
      </c>
      <c r="AN146" s="44">
        <v>-2.5493707852717099E-2</v>
      </c>
      <c r="AO146" s="44">
        <v>-5.1458949659050068E-2</v>
      </c>
      <c r="AP146" s="44">
        <v>-6.854345952749008E-2</v>
      </c>
      <c r="AQ146" s="44">
        <v>-0.14680767366999981</v>
      </c>
      <c r="AR146" s="44">
        <v>-3.8879936077264809E-2</v>
      </c>
      <c r="AS146" s="44">
        <v>-3.6309217366430779E-2</v>
      </c>
      <c r="AT146" s="44">
        <v>-0.1864206659972196</v>
      </c>
      <c r="AU146" s="44">
        <v>-5.2028382698900748E-2</v>
      </c>
      <c r="AV146" s="44">
        <v>-4.1340010194407577E-2</v>
      </c>
      <c r="AW146" s="44">
        <v>-5.8888050191118979E-2</v>
      </c>
      <c r="AX146" s="44">
        <v>-2.929383551555553E-2</v>
      </c>
      <c r="AY146" s="44">
        <v>-3.3727339739746072E-2</v>
      </c>
      <c r="AZ146" s="44">
        <v>-5.2585165027393847E-2</v>
      </c>
    </row>
    <row r="147" spans="1:52" ht="16" x14ac:dyDescent="0.2">
      <c r="A147" s="39">
        <v>44593</v>
      </c>
      <c r="B147" s="43">
        <v>-5.4065936344552812E-2</v>
      </c>
      <c r="C147" s="43">
        <v>-5.3664155265210511E-2</v>
      </c>
      <c r="D147" s="43">
        <v>-0.1246864994183783</v>
      </c>
      <c r="E147" s="43">
        <v>6.526367236591879E-2</v>
      </c>
      <c r="F147" s="43">
        <v>5.6433039616374803E-3</v>
      </c>
      <c r="G147" s="43">
        <v>2.6672518265588471E-2</v>
      </c>
      <c r="H147" s="43">
        <v>-6.9358903038484576E-2</v>
      </c>
      <c r="I147" s="43">
        <v>-6.4613099911648431E-2</v>
      </c>
      <c r="J147" s="43">
        <v>2.9510958638181869E-2</v>
      </c>
      <c r="K147" s="43">
        <v>1.7962609167225809E-3</v>
      </c>
      <c r="L147" s="43">
        <v>0.1079864430358943</v>
      </c>
      <c r="M147" s="43">
        <v>3.8399920391858799E-2</v>
      </c>
      <c r="N147" s="43">
        <v>-6.9622634999117916E-2</v>
      </c>
      <c r="O147" s="43">
        <v>1.5864436480477199E-2</v>
      </c>
      <c r="P147" s="43">
        <v>3.0857492264034111E-2</v>
      </c>
      <c r="Q147" s="43">
        <v>0.13425415767745211</v>
      </c>
      <c r="R147" s="43">
        <v>-3.2607596440076381E-2</v>
      </c>
      <c r="S147" s="43">
        <v>0.10537480833929221</v>
      </c>
      <c r="T147" s="43">
        <v>1.09017180109352E-2</v>
      </c>
      <c r="U147" s="43">
        <v>-1.821676527582361E-3</v>
      </c>
      <c r="V147" s="43">
        <v>-3.775233593436067E-2</v>
      </c>
      <c r="W147" s="43">
        <v>-0.13938097583293749</v>
      </c>
      <c r="X147" s="43">
        <v>-8.1124695691552784E-2</v>
      </c>
      <c r="Y147" s="43">
        <v>-3.8676384174206158E-2</v>
      </c>
      <c r="Z147" s="43">
        <v>-4.5760390992258038E-2</v>
      </c>
      <c r="AA147" s="43">
        <v>2.0160451704239749E-2</v>
      </c>
      <c r="AB147" s="43">
        <v>4.1980503973873429E-2</v>
      </c>
      <c r="AC147" s="43">
        <v>-5.1333317562203939E-2</v>
      </c>
      <c r="AD147" s="43">
        <v>1.449386569103628E-2</v>
      </c>
      <c r="AE147" s="43">
        <v>-0.11507702813448351</v>
      </c>
      <c r="AF147" s="43">
        <v>-3.721190046765066E-2</v>
      </c>
      <c r="AG147" s="43">
        <v>8.0102239649008755E-2</v>
      </c>
      <c r="AH147" s="43">
        <v>7.4692657398147677E-3</v>
      </c>
      <c r="AI147" s="43">
        <v>-9.3977295296419294E-2</v>
      </c>
      <c r="AJ147" s="43">
        <v>-4.1247026908673989E-3</v>
      </c>
      <c r="AK147" s="43">
        <v>0.1235610624210226</v>
      </c>
      <c r="AL147" s="43">
        <v>7.6137168843361192E-2</v>
      </c>
      <c r="AM147" s="43">
        <v>-2.8419865119614141E-2</v>
      </c>
      <c r="AN147" s="43">
        <v>-4.0790032584783531E-2</v>
      </c>
      <c r="AO147" s="43">
        <v>3.0201394903431881E-2</v>
      </c>
      <c r="AP147" s="43">
        <v>-6.9952755491452745E-2</v>
      </c>
      <c r="AQ147" s="43">
        <v>2.0230524571923651E-2</v>
      </c>
      <c r="AR147" s="43">
        <v>-2.1449732098915871E-2</v>
      </c>
      <c r="AS147" s="43">
        <v>1.605347439401239E-2</v>
      </c>
      <c r="AT147" s="43">
        <v>-7.9469901327978487E-2</v>
      </c>
      <c r="AU147" s="43">
        <v>-7.8159416967732209E-2</v>
      </c>
      <c r="AV147" s="43">
        <v>-5.2927836447332788E-2</v>
      </c>
      <c r="AW147" s="43">
        <v>6.9830454069161876E-3</v>
      </c>
      <c r="AX147" s="43">
        <v>1.0650907480115549E-2</v>
      </c>
      <c r="AY147" s="43">
        <v>-3.3259337869916528E-2</v>
      </c>
      <c r="AZ147" s="43">
        <v>-3.1360491945908293E-2</v>
      </c>
    </row>
    <row r="148" spans="1:52" ht="16" x14ac:dyDescent="0.2">
      <c r="A148" s="41">
        <v>44621</v>
      </c>
      <c r="B148" s="44">
        <v>5.7473606951396139E-2</v>
      </c>
      <c r="C148" s="44">
        <v>-1.873640276982658E-2</v>
      </c>
      <c r="D148" s="44">
        <v>-2.5786857995771299E-2</v>
      </c>
      <c r="E148" s="44">
        <v>9.7013169228384211E-2</v>
      </c>
      <c r="F148" s="44">
        <v>6.7732416958354857E-2</v>
      </c>
      <c r="G148" s="44">
        <v>6.1437285030015783E-2</v>
      </c>
      <c r="H148" s="44">
        <v>0.18786643275685</v>
      </c>
      <c r="I148" s="44">
        <v>1.2829412158161799E-3</v>
      </c>
      <c r="J148" s="44">
        <v>0.1090032913123313</v>
      </c>
      <c r="K148" s="44">
        <v>-1.794360673952333E-4</v>
      </c>
      <c r="L148" s="44">
        <v>0.13076404639985739</v>
      </c>
      <c r="M148" s="44">
        <v>-7.6114912403260737E-2</v>
      </c>
      <c r="N148" s="44">
        <v>4.9282553580562993E-3</v>
      </c>
      <c r="O148" s="44">
        <v>5.5209209711994722E-2</v>
      </c>
      <c r="P148" s="44">
        <v>4.6473161843416433E-2</v>
      </c>
      <c r="Q148" s="44">
        <v>0.1042376677094063</v>
      </c>
      <c r="R148" s="44">
        <v>4.0328556627237111E-2</v>
      </c>
      <c r="S148" s="44">
        <v>2.8705504360484468E-2</v>
      </c>
      <c r="T148" s="44">
        <v>-4.1124372122408603E-2</v>
      </c>
      <c r="U148" s="44">
        <v>2.969501803558661E-2</v>
      </c>
      <c r="V148" s="44">
        <v>-2.7085871346252951E-2</v>
      </c>
      <c r="W148" s="44">
        <v>-4.6523861600228263E-2</v>
      </c>
      <c r="X148" s="44">
        <v>0.1628110486138743</v>
      </c>
      <c r="Y148" s="44">
        <v>7.6927610506625221E-2</v>
      </c>
      <c r="Z148" s="44">
        <v>-3.8646190721456031E-2</v>
      </c>
      <c r="AA148" s="44">
        <v>3.769480331565322E-3</v>
      </c>
      <c r="AB148" s="44">
        <v>0.19663105767385811</v>
      </c>
      <c r="AC148" s="44">
        <v>1.0254420287014071E-2</v>
      </c>
      <c r="AD148" s="44">
        <v>6.3075981823728533E-2</v>
      </c>
      <c r="AE148" s="44">
        <v>-3.6808457012881268E-2</v>
      </c>
      <c r="AF148" s="44">
        <v>3.186150312283087E-2</v>
      </c>
      <c r="AG148" s="44">
        <v>-0.12345264579464919</v>
      </c>
      <c r="AH148" s="44">
        <v>8.2279380213856834E-2</v>
      </c>
      <c r="AI148" s="44">
        <v>5.8943426880201377E-2</v>
      </c>
      <c r="AJ148" s="44">
        <v>0.1191574311148</v>
      </c>
      <c r="AK148" s="44">
        <v>3.5519090976423813E-2</v>
      </c>
      <c r="AL148" s="44">
        <v>8.1622947683930747E-2</v>
      </c>
      <c r="AM148" s="44">
        <v>-1.9821710552879509E-2</v>
      </c>
      <c r="AN148" s="44">
        <v>-4.2612655383212912E-2</v>
      </c>
      <c r="AO148" s="44">
        <v>-7.8718825023544103E-2</v>
      </c>
      <c r="AP148" s="44">
        <v>0.1128529180500366</v>
      </c>
      <c r="AQ148" s="44">
        <v>0.19530920371670149</v>
      </c>
      <c r="AR148" s="44">
        <v>-0.1077532653228737</v>
      </c>
      <c r="AS148" s="44">
        <v>0.12947134254683829</v>
      </c>
      <c r="AT148" s="44">
        <v>-5.1343437372186718E-2</v>
      </c>
      <c r="AU148" s="44">
        <v>-8.3509391752953133E-2</v>
      </c>
      <c r="AV148" s="44">
        <v>7.9357364186333212E-2</v>
      </c>
      <c r="AW148" s="44">
        <v>7.4829760254456534E-2</v>
      </c>
      <c r="AX148" s="44">
        <v>0.1108355469553801</v>
      </c>
      <c r="AY148" s="44">
        <v>0.106066439999702</v>
      </c>
      <c r="AZ148" s="44">
        <v>3.5773288371546252E-2</v>
      </c>
    </row>
    <row r="149" spans="1:52" ht="16" x14ac:dyDescent="0.2">
      <c r="A149" s="39">
        <v>44652</v>
      </c>
      <c r="B149" s="43">
        <v>-9.7130622316651261E-2</v>
      </c>
      <c r="C149" s="43">
        <v>-3.723910990868784E-2</v>
      </c>
      <c r="D149" s="43">
        <v>-0.13096436405256731</v>
      </c>
      <c r="E149" s="43">
        <v>-9.6580577208793095E-2</v>
      </c>
      <c r="F149" s="43">
        <v>-3.5687584673675173E-2</v>
      </c>
      <c r="G149" s="43">
        <v>-0.23752509313621051</v>
      </c>
      <c r="H149" s="43">
        <v>-5.0580506815499422E-2</v>
      </c>
      <c r="I149" s="43">
        <v>-0.14599734962013691</v>
      </c>
      <c r="J149" s="43">
        <v>-7.5132053854425007E-2</v>
      </c>
      <c r="K149" s="43">
        <v>-0.1155770223432558</v>
      </c>
      <c r="L149" s="43">
        <v>-3.7830833552062071E-2</v>
      </c>
      <c r="M149" s="43">
        <v>-0.18613301123400569</v>
      </c>
      <c r="N149" s="43">
        <v>-4.0892597471263392E-2</v>
      </c>
      <c r="O149" s="43">
        <v>-8.0265402244166895E-2</v>
      </c>
      <c r="P149" s="43">
        <v>-1.478456458128319E-2</v>
      </c>
      <c r="Q149" s="43">
        <v>-1.455667942635497E-2</v>
      </c>
      <c r="R149" s="43">
        <v>-0.19880351228922219</v>
      </c>
      <c r="S149" s="43">
        <v>-1.412081472559268E-2</v>
      </c>
      <c r="T149" s="43">
        <v>-0.18524605607239469</v>
      </c>
      <c r="U149" s="43">
        <v>-0.1794670526943776</v>
      </c>
      <c r="V149" s="43">
        <v>-7.4553543784908416E-2</v>
      </c>
      <c r="W149" s="43">
        <v>3.5748178853391992E-3</v>
      </c>
      <c r="X149" s="43">
        <v>-5.6157129026686348E-2</v>
      </c>
      <c r="Y149" s="43">
        <v>1.8224837198138829E-2</v>
      </c>
      <c r="Z149" s="43">
        <v>-0.11792284213365579</v>
      </c>
      <c r="AA149" s="43">
        <v>4.2096854621850088E-2</v>
      </c>
      <c r="AB149" s="43">
        <v>-0.13922673409522049</v>
      </c>
      <c r="AC149" s="43">
        <v>7.6029116851372702E-3</v>
      </c>
      <c r="AD149" s="43">
        <v>-5.9396155111322679E-2</v>
      </c>
      <c r="AE149" s="43">
        <v>-6.9998956142013902E-2</v>
      </c>
      <c r="AF149" s="43">
        <v>-9.9866843523726545E-2</v>
      </c>
      <c r="AG149" s="43">
        <v>-0.12333832502581429</v>
      </c>
      <c r="AH149" s="43">
        <v>-0.16161031985365179</v>
      </c>
      <c r="AI149" s="43">
        <v>-0.1119060658886772</v>
      </c>
      <c r="AJ149" s="43">
        <v>-0.32027420681179958</v>
      </c>
      <c r="AK149" s="43">
        <v>-0.2526385199377067</v>
      </c>
      <c r="AL149" s="43">
        <v>-9.0650006692660323E-2</v>
      </c>
      <c r="AM149" s="43">
        <v>5.6614784026866483E-2</v>
      </c>
      <c r="AN149" s="43">
        <v>-4.5602037167332243E-2</v>
      </c>
      <c r="AO149" s="43">
        <v>-0.1166764656659811</v>
      </c>
      <c r="AP149" s="43">
        <v>-7.3695932159785196E-3</v>
      </c>
      <c r="AQ149" s="43">
        <v>7.4919439808629473E-3</v>
      </c>
      <c r="AR149" s="43">
        <v>-8.5918121029058048E-2</v>
      </c>
      <c r="AS149" s="43">
        <v>-5.6284094002631242E-2</v>
      </c>
      <c r="AT149" s="43">
        <v>0.10151405653885349</v>
      </c>
      <c r="AU149" s="43">
        <v>1.1554661161439441E-2</v>
      </c>
      <c r="AV149" s="43">
        <v>-7.210598414797742E-2</v>
      </c>
      <c r="AW149" s="43">
        <v>-2.7845816214636669E-3</v>
      </c>
      <c r="AX149" s="43">
        <v>-0.1424544468618488</v>
      </c>
      <c r="AY149" s="43">
        <v>2.733018911110419E-2</v>
      </c>
      <c r="AZ149" s="43">
        <v>-8.7956711804343057E-2</v>
      </c>
    </row>
    <row r="150" spans="1:52" ht="16" x14ac:dyDescent="0.2">
      <c r="A150" s="41">
        <v>44682</v>
      </c>
      <c r="B150" s="44">
        <v>-5.4496554578346901E-2</v>
      </c>
      <c r="C150" s="44">
        <v>3.4889779246455088E-2</v>
      </c>
      <c r="D150" s="44">
        <v>5.1849976376720841E-2</v>
      </c>
      <c r="E150" s="44">
        <v>-9.2548503867382337E-3</v>
      </c>
      <c r="F150" s="44">
        <v>0.1098362373544326</v>
      </c>
      <c r="G150" s="44">
        <v>-3.2764317603166448E-2</v>
      </c>
      <c r="H150" s="44">
        <v>2.5220914153014862E-2</v>
      </c>
      <c r="I150" s="44">
        <v>0.1136822431370854</v>
      </c>
      <c r="J150" s="44">
        <v>-0.12318528412232441</v>
      </c>
      <c r="K150" s="44">
        <v>-8.0236755585145536E-2</v>
      </c>
      <c r="L150" s="44">
        <v>0.1239986908655504</v>
      </c>
      <c r="M150" s="44">
        <v>-1.066019729415058E-2</v>
      </c>
      <c r="N150" s="44">
        <v>-3.2065611742043698E-2</v>
      </c>
      <c r="O150" s="44">
        <v>-1.0726280320211719E-2</v>
      </c>
      <c r="P150" s="44">
        <v>0.17300482449032439</v>
      </c>
      <c r="Q150" s="44">
        <v>-0.1794986661366389</v>
      </c>
      <c r="R150" s="44">
        <v>-2.6103639450344551E-2</v>
      </c>
      <c r="S150" s="44">
        <v>-4.9126784377614419E-2</v>
      </c>
      <c r="T150" s="44">
        <v>5.0167556618480047E-2</v>
      </c>
      <c r="U150" s="44">
        <v>-3.0452404188860971E-3</v>
      </c>
      <c r="V150" s="44">
        <v>7.6473002906244369E-2</v>
      </c>
      <c r="W150" s="44">
        <v>7.8226585532652493E-3</v>
      </c>
      <c r="X150" s="44">
        <v>1.24066210850371E-2</v>
      </c>
      <c r="Y150" s="44">
        <v>1.2393498025227161E-3</v>
      </c>
      <c r="Z150" s="44">
        <v>0.1078250632503093</v>
      </c>
      <c r="AA150" s="44">
        <v>-1.90373633152453E-2</v>
      </c>
      <c r="AB150" s="44">
        <v>-6.5276051243395417E-2</v>
      </c>
      <c r="AC150" s="44">
        <v>1.2240949209444629E-2</v>
      </c>
      <c r="AD150" s="44">
        <v>-4.0341102635625743E-2</v>
      </c>
      <c r="AE150" s="44">
        <v>6.8867064408077772E-2</v>
      </c>
      <c r="AF150" s="44">
        <v>-1.8077196253511452E-2</v>
      </c>
      <c r="AG150" s="44">
        <v>8.285681269730083E-2</v>
      </c>
      <c r="AH150" s="44">
        <v>7.1826497323161709E-2</v>
      </c>
      <c r="AI150" s="44">
        <v>-1.774732798981005E-2</v>
      </c>
      <c r="AJ150" s="44">
        <v>6.7395571675665789E-3</v>
      </c>
      <c r="AK150" s="44">
        <v>0.1226831732288383</v>
      </c>
      <c r="AL150" s="44">
        <v>3.9791562396130693E-2</v>
      </c>
      <c r="AM150" s="44">
        <v>-7.8916011223332916E-2</v>
      </c>
      <c r="AN150" s="44">
        <v>1.00562342021675E-2</v>
      </c>
      <c r="AO150" s="44">
        <v>0.45030020700904178</v>
      </c>
      <c r="AP150" s="44">
        <v>-0.2046913545706435</v>
      </c>
      <c r="AQ150" s="44">
        <v>4.6034471543288102E-3</v>
      </c>
      <c r="AR150" s="44">
        <v>2.5269932906331279E-2</v>
      </c>
      <c r="AS150" s="44">
        <v>8.5418593640531615E-3</v>
      </c>
      <c r="AT150" s="44">
        <v>-2.290950916821111E-2</v>
      </c>
      <c r="AU150" s="44">
        <v>4.2843570528478203E-2</v>
      </c>
      <c r="AV150" s="44">
        <v>4.5297647929294138E-2</v>
      </c>
      <c r="AW150" s="44">
        <v>-2.3144255156566929E-2</v>
      </c>
      <c r="AX150" s="44">
        <v>-5.6388486910787572E-2</v>
      </c>
      <c r="AY150" s="44">
        <v>-0.1561698882037513</v>
      </c>
      <c r="AZ150" s="44">
        <v>5.3177704644635782E-5</v>
      </c>
    </row>
    <row r="151" spans="1:52" ht="16" x14ac:dyDescent="0.2">
      <c r="A151" s="39">
        <v>44713</v>
      </c>
      <c r="B151" s="43">
        <v>-8.1429498023849023E-2</v>
      </c>
      <c r="C151" s="43">
        <v>-7.5004202494034278E-2</v>
      </c>
      <c r="D151" s="43">
        <v>-0.1210622649291794</v>
      </c>
      <c r="E151" s="43">
        <v>-2.6347451581212318E-3</v>
      </c>
      <c r="F151" s="43">
        <v>-5.2348612817536111E-2</v>
      </c>
      <c r="G151" s="43">
        <v>-0.11645921262241291</v>
      </c>
      <c r="H151" s="43">
        <v>-0.17183243432089629</v>
      </c>
      <c r="I151" s="43">
        <v>-0.1138211325790196</v>
      </c>
      <c r="J151" s="43">
        <v>2.801272012447065E-2</v>
      </c>
      <c r="K151" s="43">
        <v>-5.3496117123338023E-2</v>
      </c>
      <c r="L151" s="43">
        <v>-0.17107526902883</v>
      </c>
      <c r="M151" s="43">
        <v>-0.14523718238424069</v>
      </c>
      <c r="N151" s="43">
        <v>-5.8627464482299392E-2</v>
      </c>
      <c r="O151" s="43">
        <v>-0.10286494801424249</v>
      </c>
      <c r="P151" s="43">
        <v>-0.18254760576020079</v>
      </c>
      <c r="Q151" s="43">
        <v>0.13584286860240871</v>
      </c>
      <c r="R151" s="43">
        <v>-6.133464433140734E-2</v>
      </c>
      <c r="S151" s="43">
        <v>-1.058801659710706E-2</v>
      </c>
      <c r="T151" s="43">
        <v>-0.1857704733979276</v>
      </c>
      <c r="U151" s="43">
        <v>-4.218459788190787E-2</v>
      </c>
      <c r="V151" s="43">
        <v>-9.1265146205918524E-2</v>
      </c>
      <c r="W151" s="43">
        <v>-8.8349501917010742E-2</v>
      </c>
      <c r="X151" s="43">
        <v>1.0541814692068829E-3</v>
      </c>
      <c r="Y151" s="43">
        <v>-1.1251728561286759E-2</v>
      </c>
      <c r="Z151" s="43">
        <v>-0.14837797834636551</v>
      </c>
      <c r="AA151" s="43">
        <v>-2.4430823869858731E-4</v>
      </c>
      <c r="AB151" s="43">
        <v>5.4127167913280871E-2</v>
      </c>
      <c r="AC151" s="43">
        <v>-1.5707902656179051E-2</v>
      </c>
      <c r="AD151" s="43">
        <v>-9.6963641272843182E-2</v>
      </c>
      <c r="AE151" s="43">
        <v>-0.11701867822585239</v>
      </c>
      <c r="AF151" s="43">
        <v>-5.5320714161674167E-2</v>
      </c>
      <c r="AG151" s="43">
        <v>-0.25135445460613781</v>
      </c>
      <c r="AH151" s="43">
        <v>2.3385099311927119E-2</v>
      </c>
      <c r="AI151" s="43">
        <v>-9.3259335644082397E-2</v>
      </c>
      <c r="AJ151" s="43">
        <v>-0.1879709301080629</v>
      </c>
      <c r="AK151" s="43">
        <v>-0.16037735212481549</v>
      </c>
      <c r="AL151" s="43">
        <v>-0.15717526329257339</v>
      </c>
      <c r="AM151" s="43">
        <v>-2.7657913951541931E-2</v>
      </c>
      <c r="AN151" s="43">
        <v>-9.5969266486359062E-2</v>
      </c>
      <c r="AO151" s="43">
        <v>-0.1039558533889348</v>
      </c>
      <c r="AP151" s="43">
        <v>-7.0474183391125655E-2</v>
      </c>
      <c r="AQ151" s="43">
        <v>-6.3799879418605654E-2</v>
      </c>
      <c r="AR151" s="43">
        <v>-0.1033900452147435</v>
      </c>
      <c r="AS151" s="43">
        <v>-0.110735048708047</v>
      </c>
      <c r="AT151" s="43">
        <v>-0.16463938450813881</v>
      </c>
      <c r="AU151" s="43">
        <v>-0.1214409719568259</v>
      </c>
      <c r="AV151" s="43">
        <v>-0.13074243169672869</v>
      </c>
      <c r="AW151" s="43">
        <v>3.7605616132599939E-2</v>
      </c>
      <c r="AX151" s="43">
        <v>-2.9575175475523349E-2</v>
      </c>
      <c r="AY151" s="43">
        <v>-5.4808236337568823E-2</v>
      </c>
      <c r="AZ151" s="43">
        <v>-8.3919999933826817E-2</v>
      </c>
    </row>
    <row r="152" spans="1:52" ht="16" x14ac:dyDescent="0.2">
      <c r="A152" s="41">
        <v>44743</v>
      </c>
      <c r="B152" s="44">
        <v>0.18863340081518309</v>
      </c>
      <c r="C152" s="44">
        <v>6.2012498912487057E-3</v>
      </c>
      <c r="D152" s="44">
        <v>0.1203627761909201</v>
      </c>
      <c r="E152" s="44">
        <v>0.1144332242913768</v>
      </c>
      <c r="F152" s="44">
        <v>1.71394742873936E-2</v>
      </c>
      <c r="G152" s="44">
        <v>0.27059597129750063</v>
      </c>
      <c r="H152" s="44">
        <v>0.11675332205457201</v>
      </c>
      <c r="I152" s="44">
        <v>-3.7382154704481807E-2</v>
      </c>
      <c r="J152" s="44">
        <v>0.13135180831399551</v>
      </c>
      <c r="K152" s="44">
        <v>7.3600876994710962E-2</v>
      </c>
      <c r="L152" s="44">
        <v>0.13123321664676199</v>
      </c>
      <c r="M152" s="44">
        <v>0.1239405641449822</v>
      </c>
      <c r="N152" s="44">
        <v>7.4206536338324636E-2</v>
      </c>
      <c r="O152" s="44">
        <v>0.1323861057318183</v>
      </c>
      <c r="P152" s="44">
        <v>1.4719644147221491E-2</v>
      </c>
      <c r="Q152" s="44">
        <v>4.8030923600150821E-3</v>
      </c>
      <c r="R152" s="44">
        <v>9.3570360379232387E-2</v>
      </c>
      <c r="S152" s="44">
        <v>2.4497264669304238E-2</v>
      </c>
      <c r="T152" s="44">
        <v>0.16082913472016361</v>
      </c>
      <c r="U152" s="44">
        <v>6.7518245079511541E-2</v>
      </c>
      <c r="V152" s="44">
        <v>0.122449772931253</v>
      </c>
      <c r="W152" s="44">
        <v>9.7239839526897409E-2</v>
      </c>
      <c r="X152" s="44">
        <v>2.2508872673371091E-2</v>
      </c>
      <c r="Y152" s="44">
        <v>-1.6843910350531569E-2</v>
      </c>
      <c r="Z152" s="44">
        <v>3.3482259515017043E-2</v>
      </c>
      <c r="AA152" s="44">
        <v>2.002855189005159E-2</v>
      </c>
      <c r="AB152" s="44">
        <v>0.15916262671523079</v>
      </c>
      <c r="AC152" s="44">
        <v>6.6793542123482652E-2</v>
      </c>
      <c r="AD152" s="44">
        <v>3.0863262423948431E-2</v>
      </c>
      <c r="AE152" s="44">
        <v>0.1188445893045873</v>
      </c>
      <c r="AF152" s="44">
        <v>9.3096630658472623E-2</v>
      </c>
      <c r="AG152" s="44">
        <v>0.1212215078480972</v>
      </c>
      <c r="AH152" s="44">
        <v>9.0756301775367865E-2</v>
      </c>
      <c r="AI152" s="44">
        <v>0.1020487779244819</v>
      </c>
      <c r="AJ152" s="44">
        <v>0.19816623913231909</v>
      </c>
      <c r="AK152" s="44">
        <v>-5.618016657510938E-3</v>
      </c>
      <c r="AL152" s="44">
        <v>9.3329456419710466E-2</v>
      </c>
      <c r="AM152" s="44">
        <v>-2.7666780731131491E-2</v>
      </c>
      <c r="AN152" s="44">
        <v>0.17492397593610651</v>
      </c>
      <c r="AO152" s="44">
        <v>0.2222792620871368</v>
      </c>
      <c r="AP152" s="44">
        <v>0.1267315128293893</v>
      </c>
      <c r="AQ152" s="44">
        <v>4.6122044647505467E-2</v>
      </c>
      <c r="AR152" s="44">
        <v>0.13558795100584059</v>
      </c>
      <c r="AS152" s="44">
        <v>-1.5969406744445021E-2</v>
      </c>
      <c r="AT152" s="44">
        <v>8.0523269409835452E-2</v>
      </c>
      <c r="AU152" s="44">
        <v>9.507623832449541E-2</v>
      </c>
      <c r="AV152" s="44">
        <v>0.17193811227515421</v>
      </c>
      <c r="AW152" s="44">
        <v>5.589629280855779E-2</v>
      </c>
      <c r="AX152" s="44">
        <v>6.5735373621945481E-2</v>
      </c>
      <c r="AY152" s="44">
        <v>8.6116073573324403E-2</v>
      </c>
      <c r="AZ152" s="44">
        <v>9.1116391730210022E-2</v>
      </c>
    </row>
    <row r="153" spans="1:52" ht="16" x14ac:dyDescent="0.2">
      <c r="A153" s="39">
        <v>44774</v>
      </c>
      <c r="B153" s="43">
        <v>-3.1207661976237921E-2</v>
      </c>
      <c r="C153" s="43">
        <v>-5.6872316511354493E-2</v>
      </c>
      <c r="D153" s="43">
        <v>-8.9437221087697361E-2</v>
      </c>
      <c r="E153" s="43">
        <v>-3.868113815673957E-2</v>
      </c>
      <c r="F153" s="43">
        <v>-2.147453277334033E-2</v>
      </c>
      <c r="G153" s="43">
        <v>-6.0615046240520387E-2</v>
      </c>
      <c r="H153" s="43">
        <v>-6.8297420516113427E-2</v>
      </c>
      <c r="I153" s="43">
        <v>-3.5447493012484947E-2</v>
      </c>
      <c r="J153" s="43">
        <v>-3.5470232883970332E-2</v>
      </c>
      <c r="K153" s="43">
        <v>-1.432656165527901E-2</v>
      </c>
      <c r="L153" s="43">
        <v>-2.6155802089649519E-2</v>
      </c>
      <c r="M153" s="43">
        <v>5.6362082675799341E-2</v>
      </c>
      <c r="N153" s="43">
        <v>-8.1127848343960363E-3</v>
      </c>
      <c r="O153" s="43">
        <v>-8.711315846753942E-2</v>
      </c>
      <c r="P153" s="43">
        <v>9.0631094731788542E-2</v>
      </c>
      <c r="Q153" s="43">
        <v>-0.15200766221694631</v>
      </c>
      <c r="R153" s="43">
        <v>-6.1543995065692747E-2</v>
      </c>
      <c r="S153" s="43">
        <v>9.9701899324653454E-3</v>
      </c>
      <c r="T153" s="43">
        <v>-6.359081554098811E-3</v>
      </c>
      <c r="U153" s="43">
        <v>-6.9635377579807201E-2</v>
      </c>
      <c r="V153" s="43">
        <v>5.3740834990834152E-3</v>
      </c>
      <c r="W153" s="43">
        <v>-3.5349746113114262E-2</v>
      </c>
      <c r="X153" s="43">
        <v>-9.3331616523139149E-2</v>
      </c>
      <c r="Y153" s="43">
        <v>-6.9309958310681763E-2</v>
      </c>
      <c r="Z153" s="43">
        <v>-1.4129524343880149E-2</v>
      </c>
      <c r="AA153" s="43">
        <v>-3.8335700828669113E-2</v>
      </c>
      <c r="AB153" s="43">
        <v>4.3683360151072659E-2</v>
      </c>
      <c r="AC153" s="43">
        <v>-3.6864910247833782E-2</v>
      </c>
      <c r="AD153" s="43">
        <v>-4.9719135584112228E-2</v>
      </c>
      <c r="AE153" s="43">
        <v>1.0913437286594E-2</v>
      </c>
      <c r="AF153" s="43">
        <v>-6.6663124675536367E-2</v>
      </c>
      <c r="AG153" s="43">
        <v>-8.6162294898085912E-2</v>
      </c>
      <c r="AH153" s="43">
        <v>1.162884934070707E-2</v>
      </c>
      <c r="AI153" s="43">
        <v>1.1215136764972209E-2</v>
      </c>
      <c r="AJ153" s="43">
        <v>-0.16897004206172919</v>
      </c>
      <c r="AK153" s="43">
        <v>-0.1666666217667454</v>
      </c>
      <c r="AL153" s="43">
        <v>2.4941549032995391E-2</v>
      </c>
      <c r="AM153" s="43">
        <v>-6.982977680552116E-3</v>
      </c>
      <c r="AN153" s="43">
        <v>-7.9141753351959832E-2</v>
      </c>
      <c r="AO153" s="43">
        <v>-0.29441412793431099</v>
      </c>
      <c r="AP153" s="43">
        <v>-6.0727168433620693E-2</v>
      </c>
      <c r="AQ153" s="43">
        <v>-0.15206047074256729</v>
      </c>
      <c r="AR153" s="43">
        <v>-8.3053833807614552E-2</v>
      </c>
      <c r="AS153" s="43">
        <v>-1.083006030728306E-3</v>
      </c>
      <c r="AT153" s="43">
        <v>-3.8376763028957872E-2</v>
      </c>
      <c r="AU153" s="43">
        <v>2.4276182373328851E-2</v>
      </c>
      <c r="AV153" s="43">
        <v>-7.6471565975836597E-2</v>
      </c>
      <c r="AW153" s="43">
        <v>-4.2427271211225907E-2</v>
      </c>
      <c r="AX153" s="43">
        <v>-6.7186674079491304E-3</v>
      </c>
      <c r="AY153" s="43">
        <v>8.1582569792579829E-3</v>
      </c>
      <c r="AZ153" s="43">
        <v>-4.2440128272998368E-2</v>
      </c>
    </row>
    <row r="154" spans="1:52" ht="16" x14ac:dyDescent="0.2">
      <c r="A154" s="41">
        <v>44805</v>
      </c>
      <c r="B154" s="44">
        <v>-0.12097698018854119</v>
      </c>
      <c r="C154" s="44">
        <v>-5.7379388174339963E-2</v>
      </c>
      <c r="D154" s="44">
        <v>-0.26306766707401441</v>
      </c>
      <c r="E154" s="44">
        <v>6.7473622065693073E-2</v>
      </c>
      <c r="F154" s="44">
        <v>-6.2005677680574189E-2</v>
      </c>
      <c r="G154" s="44">
        <v>-0.1086218900978376</v>
      </c>
      <c r="H154" s="44">
        <v>-0.1116887735031817</v>
      </c>
      <c r="I154" s="44">
        <v>-0.18955510129692549</v>
      </c>
      <c r="J154" s="44">
        <v>-9.5441418583208648E-2</v>
      </c>
      <c r="K154" s="44">
        <v>-0.10554573350945951</v>
      </c>
      <c r="L154" s="44">
        <v>-9.1041122210063441E-2</v>
      </c>
      <c r="M154" s="44">
        <v>-0.15836907966893901</v>
      </c>
      <c r="N154" s="44">
        <v>-0.1156151635204864</v>
      </c>
      <c r="O154" s="44">
        <v>-0.1042329366252189</v>
      </c>
      <c r="P154" s="44">
        <v>-6.751514122509461E-2</v>
      </c>
      <c r="Q154" s="44">
        <v>-0.1161217301308082</v>
      </c>
      <c r="R154" s="44">
        <v>-7.8505042803498015E-2</v>
      </c>
      <c r="S154" s="44">
        <v>-7.3210071524985154E-2</v>
      </c>
      <c r="T154" s="44">
        <v>-0.1559528138113454</v>
      </c>
      <c r="U154" s="44">
        <v>-0.11615227998076701</v>
      </c>
      <c r="V154" s="44">
        <v>-0.11909729188373271</v>
      </c>
      <c r="W154" s="44">
        <v>-4.327027534301231E-2</v>
      </c>
      <c r="X154" s="44">
        <v>-5.3812308662574582E-2</v>
      </c>
      <c r="Y154" s="44">
        <v>1.2520320568860431E-2</v>
      </c>
      <c r="Z154" s="44">
        <v>-8.1157353349644024E-2</v>
      </c>
      <c r="AA154" s="44">
        <v>-8.5586800790813045E-2</v>
      </c>
      <c r="AB154" s="44">
        <v>-0.1065103575929387</v>
      </c>
      <c r="AC154" s="44">
        <v>-8.5381113969356326E-2</v>
      </c>
      <c r="AD154" s="44">
        <v>-7.4207935235530265E-2</v>
      </c>
      <c r="AE154" s="44">
        <v>-7.2870383919629078E-2</v>
      </c>
      <c r="AF154" s="44">
        <v>-0.10926672860839511</v>
      </c>
      <c r="AG154" s="44">
        <v>-0.1137448962405286</v>
      </c>
      <c r="AH154" s="44">
        <v>-7.8179966849640348E-2</v>
      </c>
      <c r="AI154" s="44">
        <v>-0.1425204568237991</v>
      </c>
      <c r="AJ154" s="44">
        <v>-0.19553431747353611</v>
      </c>
      <c r="AK154" s="44">
        <v>-0.10056500621019759</v>
      </c>
      <c r="AL154" s="44">
        <v>-0.16315528079089889</v>
      </c>
      <c r="AM154" s="44">
        <v>-8.4746950550986133E-2</v>
      </c>
      <c r="AN154" s="44">
        <v>-8.5622570848039925E-2</v>
      </c>
      <c r="AO154" s="44">
        <v>-0.1297618720536855</v>
      </c>
      <c r="AP154" s="44">
        <v>-0.17881466852824751</v>
      </c>
      <c r="AQ154" s="44">
        <v>-0.11842103423417349</v>
      </c>
      <c r="AR154" s="44">
        <v>-0.14583799812743489</v>
      </c>
      <c r="AS154" s="44">
        <v>0.18554007919976151</v>
      </c>
      <c r="AT154" s="44">
        <v>-0.1178371074737453</v>
      </c>
      <c r="AU154" s="44">
        <v>-3.688834815940623E-3</v>
      </c>
      <c r="AV154" s="44">
        <v>-6.313163776908759E-2</v>
      </c>
      <c r="AW154" s="44">
        <v>-2.446487362090077E-2</v>
      </c>
      <c r="AX154" s="44">
        <v>-0.13224345236490351</v>
      </c>
      <c r="AY154" s="44">
        <v>-2.1501533058158159E-2</v>
      </c>
      <c r="AZ154" s="44">
        <v>-9.3395672013274367E-2</v>
      </c>
    </row>
    <row r="155" spans="1:52" ht="16" x14ac:dyDescent="0.2">
      <c r="A155" s="39">
        <v>44835</v>
      </c>
      <c r="B155" s="43">
        <v>0.1095513677978521</v>
      </c>
      <c r="C155" s="43">
        <v>2.7354547474854881E-2</v>
      </c>
      <c r="D155" s="43">
        <v>0.1573400649430001</v>
      </c>
      <c r="E155" s="43">
        <v>7.5388497125398857E-2</v>
      </c>
      <c r="F155" s="43">
        <v>0.19942297979962301</v>
      </c>
      <c r="G155" s="43">
        <v>-9.345130582826322E-2</v>
      </c>
      <c r="H155" s="43">
        <v>0.32806212515183758</v>
      </c>
      <c r="I155" s="43">
        <v>9.1792237595271553E-2</v>
      </c>
      <c r="J155" s="43">
        <v>6.3809513744334856E-2</v>
      </c>
      <c r="K155" s="43">
        <v>0.14629987392730001</v>
      </c>
      <c r="L155" s="43">
        <v>0.25913518545106751</v>
      </c>
      <c r="M155" s="43">
        <v>0.1294389975192074</v>
      </c>
      <c r="N155" s="43">
        <v>8.7591583259009731E-2</v>
      </c>
      <c r="O155" s="43">
        <v>0.18273712203500109</v>
      </c>
      <c r="P155" s="43">
        <v>0.22911319554110099</v>
      </c>
      <c r="Q155" s="43">
        <v>5.739793373812585E-2</v>
      </c>
      <c r="R155" s="43">
        <v>-1.2575085463665149E-2</v>
      </c>
      <c r="S155" s="43">
        <v>0.18393866358167729</v>
      </c>
      <c r="T155" s="43">
        <v>0.25682452550577478</v>
      </c>
      <c r="U155" s="43">
        <v>-1.1918482392470181E-2</v>
      </c>
      <c r="V155" s="43">
        <v>0.175601629658902</v>
      </c>
      <c r="W155" s="43">
        <v>7.3168415572293144E-2</v>
      </c>
      <c r="X155" s="43">
        <v>0.11554617375098999</v>
      </c>
      <c r="Y155" s="43">
        <v>6.4948596548965565E-2</v>
      </c>
      <c r="Z155" s="43">
        <v>0.21537081817922951</v>
      </c>
      <c r="AA155" s="43">
        <v>6.8368274138140617E-2</v>
      </c>
      <c r="AB155" s="43">
        <v>0.18160268032451321</v>
      </c>
      <c r="AC155" s="43">
        <v>0.18167624197363971</v>
      </c>
      <c r="AD155" s="43">
        <v>8.1609862346176287E-2</v>
      </c>
      <c r="AE155" s="43">
        <v>5.0080671608968119E-2</v>
      </c>
      <c r="AF155" s="43">
        <v>-3.3062037372145752E-3</v>
      </c>
      <c r="AG155" s="43">
        <v>8.2118614672640033E-2</v>
      </c>
      <c r="AH155" s="43">
        <v>-1.160593132921039E-2</v>
      </c>
      <c r="AI155" s="43">
        <v>0.12836454829236099</v>
      </c>
      <c r="AJ155" s="43">
        <v>0.1118708590260178</v>
      </c>
      <c r="AK155" s="43">
        <v>0.75753765126550543</v>
      </c>
      <c r="AL155" s="43">
        <v>0.17610297898314389</v>
      </c>
      <c r="AM155" s="43">
        <v>7.4263235349482759E-2</v>
      </c>
      <c r="AN155" s="43">
        <v>0.19937250373241741</v>
      </c>
      <c r="AO155" s="43">
        <v>0.1094390862051793</v>
      </c>
      <c r="AP155" s="43">
        <v>9.0059102174579575E-2</v>
      </c>
      <c r="AQ155" s="43">
        <v>0.17284550932594381</v>
      </c>
      <c r="AR155" s="43">
        <v>4.1423012931087737E-2</v>
      </c>
      <c r="AS155" s="43">
        <v>8.6925027909117381E-2</v>
      </c>
      <c r="AT155" s="43">
        <v>9.9047575312412484E-2</v>
      </c>
      <c r="AU155" s="43">
        <v>0.1606566927529858</v>
      </c>
      <c r="AV155" s="43">
        <v>4.6069769449196718E-2</v>
      </c>
      <c r="AW155" s="43">
        <v>9.9220073114008711E-2</v>
      </c>
      <c r="AX155" s="43">
        <v>1.1908409736087529E-2</v>
      </c>
      <c r="AY155" s="43">
        <v>9.7378418082961327E-2</v>
      </c>
      <c r="AZ155" s="43">
        <v>7.9863413837008901E-2</v>
      </c>
    </row>
    <row r="156" spans="1:52" ht="16" x14ac:dyDescent="0.2">
      <c r="A156" s="41">
        <v>44866</v>
      </c>
      <c r="B156" s="44">
        <v>-3.3027842747593177E-2</v>
      </c>
      <c r="C156" s="44">
        <v>8.732570906822823E-2</v>
      </c>
      <c r="D156" s="44">
        <v>8.2982708558182905E-2</v>
      </c>
      <c r="E156" s="44">
        <v>7.6742830998553835E-2</v>
      </c>
      <c r="F156" s="44">
        <v>6.6664305044934702E-2</v>
      </c>
      <c r="G156" s="44">
        <v>-5.7594703097099131E-2</v>
      </c>
      <c r="H156" s="44">
        <v>9.2164548102727784E-2</v>
      </c>
      <c r="I156" s="44">
        <v>0.15437948847374369</v>
      </c>
      <c r="J156" s="44">
        <v>7.5273876227845982E-2</v>
      </c>
      <c r="K156" s="44">
        <v>9.4430864832344863E-2</v>
      </c>
      <c r="L156" s="44">
        <v>2.11608123619067E-2</v>
      </c>
      <c r="M156" s="44">
        <v>-8.1377747292212921E-2</v>
      </c>
      <c r="N156" s="44">
        <v>-4.609402192763723E-2</v>
      </c>
      <c r="O156" s="44">
        <v>0.1122266551771776</v>
      </c>
      <c r="P156" s="44">
        <v>3.9627835593676108E-2</v>
      </c>
      <c r="Q156" s="44">
        <v>3.0156815579058142E-2</v>
      </c>
      <c r="R156" s="44">
        <v>8.1869684755625505E-2</v>
      </c>
      <c r="S156" s="44">
        <v>1.0368475528787171E-2</v>
      </c>
      <c r="T156" s="44">
        <v>0.10487088810783859</v>
      </c>
      <c r="U156" s="44">
        <v>6.8564122987741172E-2</v>
      </c>
      <c r="V156" s="44">
        <v>0.12821805705616771</v>
      </c>
      <c r="W156" s="44">
        <v>0.1006989793118587</v>
      </c>
      <c r="X156" s="44">
        <v>7.1697633758666557E-2</v>
      </c>
      <c r="Y156" s="44">
        <v>2.9768895947118072E-2</v>
      </c>
      <c r="Z156" s="44">
        <v>9.77122681298499E-2</v>
      </c>
      <c r="AA156" s="44">
        <v>7.0361762964866736E-2</v>
      </c>
      <c r="AB156" s="44">
        <v>4.4588950780668053E-2</v>
      </c>
      <c r="AC156" s="44">
        <v>6.1111634920438807E-3</v>
      </c>
      <c r="AD156" s="44">
        <v>-9.5031055102303696E-2</v>
      </c>
      <c r="AE156" s="44">
        <v>0.13265184191114801</v>
      </c>
      <c r="AF156" s="44">
        <v>0.1022231640922031</v>
      </c>
      <c r="AG156" s="44">
        <v>6.5619189844633885E-2</v>
      </c>
      <c r="AH156" s="44">
        <v>9.845359732897685E-2</v>
      </c>
      <c r="AI156" s="44">
        <v>-2.3964048492370101E-2</v>
      </c>
      <c r="AJ156" s="44">
        <v>0.25415494374413861</v>
      </c>
      <c r="AK156" s="44">
        <v>8.5775541736783367E-2</v>
      </c>
      <c r="AL156" s="44">
        <v>0.12811847523820541</v>
      </c>
      <c r="AM156" s="44">
        <v>0.107596099917652</v>
      </c>
      <c r="AN156" s="44">
        <v>3.3380338800378828E-2</v>
      </c>
      <c r="AO156" s="44">
        <v>0.15906288735671209</v>
      </c>
      <c r="AP156" s="44">
        <v>6.3566600992361222E-2</v>
      </c>
      <c r="AQ156" s="44">
        <v>1.929384168739046E-2</v>
      </c>
      <c r="AR156" s="44">
        <v>8.1901346943261011E-2</v>
      </c>
      <c r="AS156" s="44">
        <v>3.9399853713169009E-3</v>
      </c>
      <c r="AT156" s="44">
        <v>0.1100847521114168</v>
      </c>
      <c r="AU156" s="44">
        <v>0.11486408006525869</v>
      </c>
      <c r="AV156" s="44">
        <v>0.1234516052421815</v>
      </c>
      <c r="AW156" s="44">
        <v>-1.331203873125486E-2</v>
      </c>
      <c r="AX156" s="44">
        <v>0.102921497943085</v>
      </c>
      <c r="AY156" s="44">
        <v>7.0891806338703622E-2</v>
      </c>
      <c r="AZ156" s="44">
        <v>5.3752893352493107E-2</v>
      </c>
    </row>
    <row r="157" spans="1:52" ht="16" x14ac:dyDescent="0.2">
      <c r="A157" s="39">
        <v>44896</v>
      </c>
      <c r="B157" s="43">
        <v>-0.12227226505712629</v>
      </c>
      <c r="C157" s="43">
        <v>2.0542908512079631E-2</v>
      </c>
      <c r="D157" s="43">
        <v>-2.4352750050297911E-2</v>
      </c>
      <c r="E157" s="43">
        <v>-9.7841866475908756E-2</v>
      </c>
      <c r="F157" s="43">
        <v>-8.2960723849833329E-2</v>
      </c>
      <c r="G157" s="43">
        <v>-0.12989435256479709</v>
      </c>
      <c r="H157" s="43">
        <v>1.3324285987088571E-2</v>
      </c>
      <c r="I157" s="43">
        <v>-4.5578670959423688E-2</v>
      </c>
      <c r="J157" s="43">
        <v>-0.15345361181312259</v>
      </c>
      <c r="K157" s="43">
        <v>-4.1834225298733367E-2</v>
      </c>
      <c r="L157" s="43">
        <v>-2.083897481410046E-2</v>
      </c>
      <c r="M157" s="43">
        <v>-0.1122919238343365</v>
      </c>
      <c r="N157" s="43">
        <v>-2.4911301705382471E-2</v>
      </c>
      <c r="O157" s="43">
        <v>3.0282679374267212E-3</v>
      </c>
      <c r="P157" s="43">
        <v>-7.6570023367922957E-2</v>
      </c>
      <c r="Q157" s="43">
        <v>-6.0889871945213107E-2</v>
      </c>
      <c r="R157" s="43">
        <v>-7.179358424226312E-2</v>
      </c>
      <c r="S157" s="43">
        <v>-1.6957818068920941E-2</v>
      </c>
      <c r="T157" s="43">
        <v>-2.4416021689129819E-2</v>
      </c>
      <c r="U157" s="43">
        <v>-0.1263490787083682</v>
      </c>
      <c r="V157" s="43">
        <v>-0.1107600756472779</v>
      </c>
      <c r="W157" s="43">
        <v>-2.5093224266498289E-2</v>
      </c>
      <c r="X157" s="43">
        <v>8.1586737896057748E-3</v>
      </c>
      <c r="Y157" s="43">
        <v>-7.5843375028757931E-3</v>
      </c>
      <c r="Z157" s="43">
        <v>-2.9526803129985679E-2</v>
      </c>
      <c r="AA157" s="43">
        <v>0</v>
      </c>
      <c r="AB157" s="43">
        <v>-7.7284912208687162E-2</v>
      </c>
      <c r="AC157" s="43">
        <v>-3.3945434591363448E-2</v>
      </c>
      <c r="AD157" s="43">
        <v>-7.9529085554810308E-3</v>
      </c>
      <c r="AE157" s="43">
        <v>-8.6494028978247317E-2</v>
      </c>
      <c r="AF157" s="43">
        <v>-6.0045549939288123E-2</v>
      </c>
      <c r="AG157" s="43">
        <v>-0.13107135708812781</v>
      </c>
      <c r="AH157" s="43">
        <v>-1.2986985595994869E-2</v>
      </c>
      <c r="AI157" s="43">
        <v>-0.11166988191894971</v>
      </c>
      <c r="AJ157" s="43">
        <v>-0.13644147977590049</v>
      </c>
      <c r="AK157" s="43">
        <v>0.15141542161101401</v>
      </c>
      <c r="AL157" s="43">
        <v>-1.8230685783700021E-2</v>
      </c>
      <c r="AM157" s="43">
        <v>1.609044635246959E-2</v>
      </c>
      <c r="AN157" s="43">
        <v>-2.656042171349016E-2</v>
      </c>
      <c r="AO157" s="43">
        <v>-0.1047872017713182</v>
      </c>
      <c r="AP157" s="43">
        <v>-3.653954883588173E-2</v>
      </c>
      <c r="AQ157" s="43">
        <v>-0.1083366253400808</v>
      </c>
      <c r="AR157" s="43">
        <v>-0.13084048352279889</v>
      </c>
      <c r="AS157" s="43">
        <v>-4.0188942963115482E-2</v>
      </c>
      <c r="AT157" s="43">
        <v>-4.7555919252515677E-2</v>
      </c>
      <c r="AU157" s="43">
        <v>-5.6214921450822297E-3</v>
      </c>
      <c r="AV157" s="43">
        <v>-8.445086424891346E-2</v>
      </c>
      <c r="AW157" s="43">
        <v>-2.9110556705232771E-2</v>
      </c>
      <c r="AX157" s="43">
        <v>-4.1779933127189417E-2</v>
      </c>
      <c r="AY157" s="43">
        <v>-6.62347243891801E-2</v>
      </c>
      <c r="AZ157" s="43">
        <v>-5.8971474074730468E-2</v>
      </c>
    </row>
    <row r="158" spans="1:52" ht="16" x14ac:dyDescent="0.2">
      <c r="A158" s="41">
        <v>44927</v>
      </c>
      <c r="B158" s="44">
        <v>0.1105209018105386</v>
      </c>
      <c r="C158" s="44">
        <v>1.1481157221891801E-2</v>
      </c>
      <c r="D158" s="44">
        <v>0.1004665191252891</v>
      </c>
      <c r="E158" s="44">
        <v>8.0711618772896676E-2</v>
      </c>
      <c r="F158" s="44">
        <v>-3.898890150642409E-2</v>
      </c>
      <c r="G158" s="44">
        <v>0.22773806254069021</v>
      </c>
      <c r="H158" s="44">
        <v>5.8161577992581703E-2</v>
      </c>
      <c r="I158" s="44">
        <v>0.1340056630785178</v>
      </c>
      <c r="J158" s="44">
        <v>0.1196934610718787</v>
      </c>
      <c r="K158" s="44">
        <v>2.9783213728195031E-2</v>
      </c>
      <c r="L158" s="44">
        <v>-3.0475081427364551E-2</v>
      </c>
      <c r="M158" s="44">
        <v>0.2487339386323657</v>
      </c>
      <c r="N158" s="44">
        <v>6.3684884676739495E-2</v>
      </c>
      <c r="O158" s="44">
        <v>-6.0795520403641001E-2</v>
      </c>
      <c r="P158" s="44">
        <v>2.7576611533990821E-2</v>
      </c>
      <c r="Q158" s="44">
        <v>9.8503730269525969E-2</v>
      </c>
      <c r="R158" s="44">
        <v>2.8917910348576829E-2</v>
      </c>
      <c r="S158" s="44">
        <v>-5.5638134119925131E-2</v>
      </c>
      <c r="T158" s="44">
        <v>0.2303958108567479</v>
      </c>
      <c r="U158" s="44">
        <v>0.1202538419180486</v>
      </c>
      <c r="V158" s="44">
        <v>6.5321335771115985E-2</v>
      </c>
      <c r="W158" s="44">
        <v>2.6308976606666871E-2</v>
      </c>
      <c r="X158" s="44">
        <v>6.0009956587871123E-2</v>
      </c>
      <c r="Y158" s="44">
        <v>-7.4893725282210166E-2</v>
      </c>
      <c r="Z158" s="44">
        <v>5.1408225380674022E-2</v>
      </c>
      <c r="AA158" s="44">
        <v>-3.6000816746224018E-2</v>
      </c>
      <c r="AB158" s="44">
        <v>-3.825599444565031E-2</v>
      </c>
      <c r="AC158" s="44">
        <v>1.468516051595747E-2</v>
      </c>
      <c r="AD158" s="44">
        <v>7.6814390460395288E-2</v>
      </c>
      <c r="AE158" s="44">
        <v>0.15402318181974189</v>
      </c>
      <c r="AF158" s="44">
        <v>3.3316621951098753E-2</v>
      </c>
      <c r="AG158" s="44">
        <v>0.20648266195904699</v>
      </c>
      <c r="AH158" s="44">
        <v>-0.10729661292464369</v>
      </c>
      <c r="AI158" s="44">
        <v>0.1117062946879905</v>
      </c>
      <c r="AJ158" s="44">
        <v>0.33686864838686148</v>
      </c>
      <c r="AK158" s="44">
        <v>0.22069757923757741</v>
      </c>
      <c r="AL158" s="44">
        <v>5.6827064719859648E-2</v>
      </c>
      <c r="AM158" s="44">
        <v>-5.4675168473389379E-2</v>
      </c>
      <c r="AN158" s="44">
        <v>0.1202750735143268</v>
      </c>
      <c r="AO158" s="44">
        <v>7.664889610072434E-2</v>
      </c>
      <c r="AP158" s="44">
        <v>0.14681098016886879</v>
      </c>
      <c r="AQ158" s="44">
        <v>0.12420950921413269</v>
      </c>
      <c r="AR158" s="44">
        <v>0.21166108140806769</v>
      </c>
      <c r="AS158" s="44">
        <v>5.1254847727038921E-2</v>
      </c>
      <c r="AT158" s="44">
        <v>-3.1180265458717882E-3</v>
      </c>
      <c r="AU158" s="44">
        <v>2.8391804358995239E-2</v>
      </c>
      <c r="AV158" s="44">
        <v>8.0213480250135305E-2</v>
      </c>
      <c r="AW158" s="44">
        <v>-5.8451821613447967E-2</v>
      </c>
      <c r="AX158" s="44">
        <v>-1.390851560395079E-2</v>
      </c>
      <c r="AY158" s="44">
        <v>1.4669655355733949E-2</v>
      </c>
      <c r="AZ158" s="44">
        <v>6.1752857834679098E-2</v>
      </c>
    </row>
    <row r="159" spans="1:52" ht="16" x14ac:dyDescent="0.2">
      <c r="A159" s="39">
        <v>44958</v>
      </c>
      <c r="B159" s="43">
        <v>2.318316302603041E-2</v>
      </c>
      <c r="C159" s="43">
        <v>-7.9873207005216496E-2</v>
      </c>
      <c r="D159" s="43">
        <v>-0.12526322997674311</v>
      </c>
      <c r="E159" s="43">
        <v>1.0416692536739051E-2</v>
      </c>
      <c r="F159" s="43">
        <v>-7.4077119477904185E-2</v>
      </c>
      <c r="G159" s="43">
        <v>-8.6298789232144624E-2</v>
      </c>
      <c r="H159" s="43">
        <v>-5.0497375806477618E-2</v>
      </c>
      <c r="I159" s="43">
        <v>-5.5400091462332268E-2</v>
      </c>
      <c r="J159" s="43">
        <v>-5.1096018832524459E-2</v>
      </c>
      <c r="K159" s="43">
        <v>-5.1366136501606041E-3</v>
      </c>
      <c r="L159" s="43">
        <v>-6.79735687368348E-2</v>
      </c>
      <c r="M159" s="43">
        <v>-8.1850767404436087E-2</v>
      </c>
      <c r="N159" s="43">
        <v>2.9322516574588509E-2</v>
      </c>
      <c r="O159" s="43">
        <v>-7.7723393207581148E-2</v>
      </c>
      <c r="P159" s="43">
        <v>-0.14540655410814279</v>
      </c>
      <c r="Q159" s="43">
        <v>-3.064704255433159E-2</v>
      </c>
      <c r="R159" s="43">
        <v>-3.16944861066073E-2</v>
      </c>
      <c r="S159" s="43">
        <v>-2.2097217942618319E-2</v>
      </c>
      <c r="T159" s="43">
        <v>5.2559653327167062E-2</v>
      </c>
      <c r="U159" s="43">
        <v>-8.8830309199510848E-2</v>
      </c>
      <c r="V159" s="43">
        <v>-3.870864695794396E-2</v>
      </c>
      <c r="W159" s="43">
        <v>-8.5233090081008323E-2</v>
      </c>
      <c r="X159" s="43">
        <v>-9.5842096443648273E-2</v>
      </c>
      <c r="Y159" s="43">
        <v>-5.5425990120645641E-2</v>
      </c>
      <c r="Z159" s="43">
        <v>2.422135800661418E-2</v>
      </c>
      <c r="AA159" s="43">
        <v>-2.951720396070423E-2</v>
      </c>
      <c r="AB159" s="43">
        <v>-3.7043459599979012E-2</v>
      </c>
      <c r="AC159" s="43">
        <v>-7.3529943681527321E-3</v>
      </c>
      <c r="AD159" s="43">
        <v>-1.063462047848374E-2</v>
      </c>
      <c r="AE159" s="43">
        <v>-8.5277658882191298E-3</v>
      </c>
      <c r="AF159" s="43">
        <v>9.0178715429949374E-3</v>
      </c>
      <c r="AG159" s="43">
        <v>-4.1127613642960692E-2</v>
      </c>
      <c r="AH159" s="43">
        <v>-4.2090051495221707E-2</v>
      </c>
      <c r="AI159" s="43">
        <v>-2.53663838038608E-2</v>
      </c>
      <c r="AJ159" s="43">
        <v>0.18830956496010301</v>
      </c>
      <c r="AK159" s="43">
        <v>-2.154571351766987E-2</v>
      </c>
      <c r="AL159" s="43">
        <v>-4.4246704146015281E-2</v>
      </c>
      <c r="AM159" s="43">
        <v>-3.3852920421098442E-2</v>
      </c>
      <c r="AN159" s="43">
        <v>8.3387946845149052E-2</v>
      </c>
      <c r="AO159" s="43">
        <v>-2.7593817706531239E-2</v>
      </c>
      <c r="AP159" s="43">
        <v>-4.548271638066792E-2</v>
      </c>
      <c r="AQ159" s="43">
        <v>8.8188010273394069E-2</v>
      </c>
      <c r="AR159" s="43">
        <v>-7.2667171979980294E-2</v>
      </c>
      <c r="AS159" s="43">
        <v>2.5710365515114741E-3</v>
      </c>
      <c r="AT159" s="43">
        <v>-6.1870640915736019E-2</v>
      </c>
      <c r="AU159" s="43">
        <v>-6.0786667253693187E-2</v>
      </c>
      <c r="AV159" s="43">
        <v>-3.2503841292951918E-2</v>
      </c>
      <c r="AW159" s="43">
        <v>-4.6575411683529973E-2</v>
      </c>
      <c r="AX159" s="43">
        <v>2.198059340382796E-2</v>
      </c>
      <c r="AY159" s="43">
        <v>-1.209434746853688E-2</v>
      </c>
      <c r="AZ159" s="43">
        <v>-2.6112493931818581E-2</v>
      </c>
    </row>
    <row r="160" spans="1:52" ht="16" x14ac:dyDescent="0.2">
      <c r="A160" s="41">
        <v>44986</v>
      </c>
      <c r="B160" s="44">
        <v>0.11864869479429439</v>
      </c>
      <c r="C160" s="44">
        <v>-4.5221803792953041E-3</v>
      </c>
      <c r="D160" s="44">
        <v>0.18959710015662459</v>
      </c>
      <c r="E160" s="44">
        <v>-1.730483490408696E-2</v>
      </c>
      <c r="F160" s="44">
        <v>4.3555303426070058E-2</v>
      </c>
      <c r="G160" s="44">
        <v>9.61476943206232E-2</v>
      </c>
      <c r="H160" s="44">
        <v>-4.4708809902972657E-2</v>
      </c>
      <c r="I160" s="44">
        <v>1.9908482430809778E-2</v>
      </c>
      <c r="J160" s="44">
        <v>2.620913923190793E-2</v>
      </c>
      <c r="K160" s="44">
        <v>7.9718941399841148E-2</v>
      </c>
      <c r="L160" s="44">
        <v>1.4865715153248971E-2</v>
      </c>
      <c r="M160" s="44">
        <v>5.2202845205948636E-3</v>
      </c>
      <c r="N160" s="44">
        <v>4.2225583266163318E-2</v>
      </c>
      <c r="O160" s="44">
        <v>5.3560668644225602E-2</v>
      </c>
      <c r="P160" s="44">
        <v>2.36191935813117E-2</v>
      </c>
      <c r="Q160" s="44">
        <v>0.13641685796919401</v>
      </c>
      <c r="R160" s="44">
        <v>1.895374734121091E-2</v>
      </c>
      <c r="S160" s="44">
        <v>1.3163199731818229E-3</v>
      </c>
      <c r="T160" s="44">
        <v>0.1296025222384867</v>
      </c>
      <c r="U160" s="44">
        <v>0.1517874934213215</v>
      </c>
      <c r="V160" s="44">
        <v>-6.3124688106933502E-2</v>
      </c>
      <c r="W160" s="44">
        <v>2.418482050725812E-3</v>
      </c>
      <c r="X160" s="44">
        <v>-6.1184807852349372E-2</v>
      </c>
      <c r="Y160" s="44">
        <v>1.13532945306325E-2</v>
      </c>
      <c r="Z160" s="44">
        <v>-9.0966385221382118E-2</v>
      </c>
      <c r="AA160" s="44">
        <v>5.0341009767693727E-2</v>
      </c>
      <c r="AB160" s="44">
        <v>4.2529505920723132E-3</v>
      </c>
      <c r="AC160" s="44">
        <v>5.9489692020564533E-2</v>
      </c>
      <c r="AD160" s="44">
        <v>-1.7975115735656019E-2</v>
      </c>
      <c r="AE160" s="44">
        <v>-9.015544489454097E-2</v>
      </c>
      <c r="AF160" s="44">
        <v>0.1558815349506277</v>
      </c>
      <c r="AG160" s="44">
        <v>4.3583411865110611E-2</v>
      </c>
      <c r="AH160" s="44">
        <v>8.51752703453168E-2</v>
      </c>
      <c r="AI160" s="44">
        <v>-1.084434647871046E-2</v>
      </c>
      <c r="AJ160" s="44">
        <v>0.1966624632509901</v>
      </c>
      <c r="AK160" s="44">
        <v>-0.15605554447728959</v>
      </c>
      <c r="AL160" s="44">
        <v>-2.918244453201713E-2</v>
      </c>
      <c r="AM160" s="44">
        <v>8.0909981115599328E-2</v>
      </c>
      <c r="AN160" s="44">
        <v>-4.4734899806543098E-2</v>
      </c>
      <c r="AO160" s="44">
        <v>-5.9023885697646272E-2</v>
      </c>
      <c r="AP160" s="44">
        <v>1.8485459435991999E-2</v>
      </c>
      <c r="AQ160" s="44">
        <v>-9.4701733274477173E-2</v>
      </c>
      <c r="AR160" s="44">
        <v>3.9094356477499932E-2</v>
      </c>
      <c r="AS160" s="44">
        <v>8.054755008203518E-2</v>
      </c>
      <c r="AT160" s="44">
        <v>1.545066856905208E-2</v>
      </c>
      <c r="AU160" s="44">
        <v>2.297687633458256E-2</v>
      </c>
      <c r="AV160" s="44">
        <v>8.492285703010749E-2</v>
      </c>
      <c r="AW160" s="44">
        <v>-3.5020813816876162E-3</v>
      </c>
      <c r="AX160" s="44">
        <v>-2.9042721563722229E-2</v>
      </c>
      <c r="AY160" s="44">
        <v>4.1682832315877993E-2</v>
      </c>
      <c r="AZ160" s="44">
        <v>3.5051612577108981E-2</v>
      </c>
    </row>
    <row r="161" spans="1:52" ht="16" x14ac:dyDescent="0.2">
      <c r="A161" s="39">
        <v>45017</v>
      </c>
      <c r="B161" s="43">
        <v>2.898711413185406E-2</v>
      </c>
      <c r="C161" s="43">
        <v>9.64059024709496E-2</v>
      </c>
      <c r="D161" s="43">
        <v>-2.026623156330265E-2</v>
      </c>
      <c r="E161" s="43">
        <v>-0.2343574725723058</v>
      </c>
      <c r="F161" s="43">
        <v>-8.3143579043706284E-3</v>
      </c>
      <c r="G161" s="43">
        <v>2.091195675834423E-2</v>
      </c>
      <c r="H161" s="43">
        <v>-3.8683514564987087E-2</v>
      </c>
      <c r="I161" s="43">
        <v>9.9658503498821993E-2</v>
      </c>
      <c r="J161" s="43">
        <v>1.278011625730602E-2</v>
      </c>
      <c r="K161" s="43">
        <v>-8.942377181967609E-2</v>
      </c>
      <c r="L161" s="43">
        <v>3.3219004325925512E-2</v>
      </c>
      <c r="M161" s="43">
        <v>2.3669251937499251E-2</v>
      </c>
      <c r="N161" s="43">
        <v>1.395515916806067E-2</v>
      </c>
      <c r="O161" s="43">
        <v>-4.4526061501930059E-2</v>
      </c>
      <c r="P161" s="43">
        <v>4.9300586419065429E-2</v>
      </c>
      <c r="Q161" s="43">
        <v>-5.7187048896322201E-2</v>
      </c>
      <c r="R161" s="43">
        <v>-7.7767874536287418E-2</v>
      </c>
      <c r="S161" s="43">
        <v>-3.7708670266025202E-2</v>
      </c>
      <c r="T161" s="43">
        <v>3.5251074113856078E-2</v>
      </c>
      <c r="U161" s="43">
        <v>3.4801904760348952E-2</v>
      </c>
      <c r="V161" s="43">
        <v>4.9921976959337089E-2</v>
      </c>
      <c r="W161" s="43">
        <v>1.8365415736160129E-2</v>
      </c>
      <c r="X161" s="43">
        <v>2.961127879405101E-2</v>
      </c>
      <c r="Y161" s="43">
        <v>5.6129112276937843E-2</v>
      </c>
      <c r="Z161" s="43">
        <v>6.9180707084656845E-2</v>
      </c>
      <c r="AA161" s="43">
        <v>3.4177117774542021E-2</v>
      </c>
      <c r="AB161" s="43">
        <v>-0.2010853800928496</v>
      </c>
      <c r="AC161" s="43">
        <v>5.7723422677776297E-2</v>
      </c>
      <c r="AD161" s="43">
        <v>0.12813189006340359</v>
      </c>
      <c r="AE161" s="43">
        <v>3.359004666377885E-2</v>
      </c>
      <c r="AF161" s="43">
        <v>6.5765168446662914E-2</v>
      </c>
      <c r="AG161" s="43">
        <v>6.8778040622430314E-2</v>
      </c>
      <c r="AH161" s="43">
        <v>-5.8380952464498481E-3</v>
      </c>
      <c r="AI161" s="43">
        <v>-7.1792968063106874E-3</v>
      </c>
      <c r="AJ161" s="43">
        <v>-1.007959085489563E-3</v>
      </c>
      <c r="AK161" s="43">
        <v>5.6721716522973864E-3</v>
      </c>
      <c r="AL161" s="43">
        <v>4.4708998572794867E-2</v>
      </c>
      <c r="AM161" s="43">
        <v>5.8303066370058332E-2</v>
      </c>
      <c r="AN161" s="43">
        <v>-3.3411682367616817E-2</v>
      </c>
      <c r="AO161" s="43">
        <v>-0.12786489115285879</v>
      </c>
      <c r="AP161" s="43">
        <v>3.8471367639905112E-3</v>
      </c>
      <c r="AQ161" s="43">
        <v>-0.11215343458073911</v>
      </c>
      <c r="AR161" s="43">
        <v>-8.4496167060598038E-2</v>
      </c>
      <c r="AS161" s="43">
        <v>-2.4194706992627931E-2</v>
      </c>
      <c r="AT161" s="43">
        <v>5.6813459284216439E-2</v>
      </c>
      <c r="AU161" s="43">
        <v>5.870214166526333E-3</v>
      </c>
      <c r="AV161" s="43">
        <v>-0.1011235119331078</v>
      </c>
      <c r="AW161" s="43">
        <v>4.1262002822864519E-2</v>
      </c>
      <c r="AX161" s="43">
        <v>-2.7626028699625601E-2</v>
      </c>
      <c r="AY161" s="43">
        <v>2.3872352016979011E-2</v>
      </c>
      <c r="AZ161" s="43">
        <v>1.4642341662481019E-2</v>
      </c>
    </row>
    <row r="162" spans="1:52" ht="16" x14ac:dyDescent="0.2">
      <c r="A162" s="41">
        <v>45047</v>
      </c>
      <c r="B162" s="44">
        <v>4.6058225758337963E-2</v>
      </c>
      <c r="C162" s="44">
        <v>-7.6672326126724366E-2</v>
      </c>
      <c r="D162" s="44">
        <v>0.1065526306983431</v>
      </c>
      <c r="E162" s="44">
        <v>0.102887250818452</v>
      </c>
      <c r="F162" s="44">
        <v>-7.094402674533995E-2</v>
      </c>
      <c r="G162" s="44">
        <v>0.1434803728845884</v>
      </c>
      <c r="H162" s="44">
        <v>-5.9643427616022482E-2</v>
      </c>
      <c r="I162" s="44">
        <v>-4.8827524272086253E-2</v>
      </c>
      <c r="J162" s="44">
        <v>1.869376061591144E-2</v>
      </c>
      <c r="K162" s="44">
        <v>5.1217013134213341E-2</v>
      </c>
      <c r="L162" s="44">
        <v>-9.7787810912718487E-2</v>
      </c>
      <c r="M162" s="44">
        <v>-0.14185359779486581</v>
      </c>
      <c r="N162" s="44">
        <v>-1.6622897855296911E-2</v>
      </c>
      <c r="O162" s="44">
        <v>-6.1099568798849258E-2</v>
      </c>
      <c r="P162" s="44">
        <v>-0.1019503094140863</v>
      </c>
      <c r="Q162" s="44">
        <v>5.3551994013218078E-2</v>
      </c>
      <c r="R162" s="44">
        <v>9.8392387322485675E-2</v>
      </c>
      <c r="S162" s="44">
        <v>-6.4853050964481351E-2</v>
      </c>
      <c r="T162" s="44">
        <v>2.586646827654282E-2</v>
      </c>
      <c r="U162" s="44">
        <v>0.14468052618954139</v>
      </c>
      <c r="V162" s="44">
        <v>-4.9713963271779897E-2</v>
      </c>
      <c r="W162" s="44">
        <v>-5.0074696957351013E-2</v>
      </c>
      <c r="X162" s="44">
        <v>-0.17282628399596919</v>
      </c>
      <c r="Y162" s="44">
        <v>-4.5632846427486773E-2</v>
      </c>
      <c r="Z162" s="44">
        <v>-1.8301534756034129E-2</v>
      </c>
      <c r="AA162" s="44">
        <v>-6.9992282979496445E-2</v>
      </c>
      <c r="AB162" s="44">
        <v>-2.1593720789665479E-2</v>
      </c>
      <c r="AC162" s="44">
        <v>-3.5976258833253727E-2</v>
      </c>
      <c r="AD162" s="44">
        <v>-9.004942355668033E-2</v>
      </c>
      <c r="AE162" s="44">
        <v>-9.1252746238250526E-2</v>
      </c>
      <c r="AF162" s="44">
        <v>7.1105426065367627E-2</v>
      </c>
      <c r="AG162" s="44">
        <v>5.9664511120774533E-2</v>
      </c>
      <c r="AH162" s="44">
        <v>-3.5215411550169717E-2</v>
      </c>
      <c r="AI162" s="44">
        <v>5.5016611123626553E-2</v>
      </c>
      <c r="AJ162" s="44">
        <v>0.36343643936201092</v>
      </c>
      <c r="AK162" s="44">
        <v>-0.13649177580939681</v>
      </c>
      <c r="AL162" s="44">
        <v>-0.13377156555109379</v>
      </c>
      <c r="AM162" s="44">
        <v>-8.87580868167408E-2</v>
      </c>
      <c r="AN162" s="44">
        <v>-9.1806027218145347E-3</v>
      </c>
      <c r="AO162" s="44">
        <v>0.46818806958709519</v>
      </c>
      <c r="AP162" s="44">
        <v>-5.5888614866846931E-3</v>
      </c>
      <c r="AQ162" s="44">
        <v>0.1343591303772744</v>
      </c>
      <c r="AR162" s="44">
        <v>-2.2281114011938771E-2</v>
      </c>
      <c r="AS162" s="44">
        <v>-8.2602527578974794E-2</v>
      </c>
      <c r="AT162" s="44">
        <v>-3.8532172126053421E-2</v>
      </c>
      <c r="AU162" s="44">
        <v>-2.160944296801259E-2</v>
      </c>
      <c r="AV162" s="44">
        <v>4.7958777351237103E-2</v>
      </c>
      <c r="AW162" s="44">
        <v>-9.8558350575377318E-3</v>
      </c>
      <c r="AX162" s="44">
        <v>-9.5815087038139124E-3</v>
      </c>
      <c r="AY162" s="44">
        <v>-2.346201347765486E-2</v>
      </c>
      <c r="AZ162" s="44">
        <v>2.482347368192972E-3</v>
      </c>
    </row>
    <row r="163" spans="1:52" ht="16" x14ac:dyDescent="0.2">
      <c r="A163" s="39">
        <v>45078</v>
      </c>
      <c r="B163" s="43">
        <v>9.4330096188247392E-2</v>
      </c>
      <c r="C163" s="43">
        <v>6.8823335997369561E-2</v>
      </c>
      <c r="D163" s="43">
        <v>0.17042049889471581</v>
      </c>
      <c r="E163" s="43">
        <v>2.8286138427088939E-2</v>
      </c>
      <c r="F163" s="43">
        <v>6.2089010010313306E-3</v>
      </c>
      <c r="G163" s="43">
        <v>8.1107966750570082E-2</v>
      </c>
      <c r="H163" s="43">
        <v>0.19586865197328329</v>
      </c>
      <c r="I163" s="43">
        <v>5.5908425285787322E-2</v>
      </c>
      <c r="J163" s="43">
        <v>5.2427633941437568E-2</v>
      </c>
      <c r="K163" s="43">
        <v>4.1675059935266663E-2</v>
      </c>
      <c r="L163" s="43">
        <v>4.4682198083541243E-2</v>
      </c>
      <c r="M163" s="43">
        <v>1.500672962560556E-2</v>
      </c>
      <c r="N163" s="43">
        <v>0.13441119070143071</v>
      </c>
      <c r="O163" s="43">
        <v>0.16361989450385919</v>
      </c>
      <c r="P163" s="43">
        <v>6.6641809559205845E-2</v>
      </c>
      <c r="Q163" s="43">
        <v>-8.8174310290195512E-3</v>
      </c>
      <c r="R163" s="43">
        <v>-8.9443509136817312E-3</v>
      </c>
      <c r="S163" s="43">
        <v>5.3727142397145038E-2</v>
      </c>
      <c r="T163" s="43">
        <v>8.1946287172356636E-2</v>
      </c>
      <c r="U163" s="43">
        <v>-2.5799703165790722E-2</v>
      </c>
      <c r="V163" s="43">
        <v>-4.19871244360559E-3</v>
      </c>
      <c r="W163" s="43">
        <v>9.592526820534264E-2</v>
      </c>
      <c r="X163" s="43">
        <v>1.137288012374116E-2</v>
      </c>
      <c r="Y163" s="43">
        <v>6.7457889214235234E-2</v>
      </c>
      <c r="Z163" s="43">
        <v>7.1696817175329164E-2</v>
      </c>
      <c r="AA163" s="43">
        <v>1.7074078385135531E-2</v>
      </c>
      <c r="AB163" s="43">
        <v>1.3072918607806679E-2</v>
      </c>
      <c r="AC163" s="43">
        <v>5.2204545087123362E-2</v>
      </c>
      <c r="AD163" s="43">
        <v>7.2906022773986834E-2</v>
      </c>
      <c r="AE163" s="43">
        <v>4.452057693764977E-2</v>
      </c>
      <c r="AF163" s="43">
        <v>3.6998797011800873E-2</v>
      </c>
      <c r="AG163" s="43">
        <v>-7.4633490459175222E-2</v>
      </c>
      <c r="AH163" s="43">
        <v>1.007343260621729E-2</v>
      </c>
      <c r="AI163" s="43">
        <v>0.15146930653993529</v>
      </c>
      <c r="AJ163" s="43">
        <v>0.1182105081934617</v>
      </c>
      <c r="AK163" s="43">
        <v>0.2214239222997765</v>
      </c>
      <c r="AL163" s="43">
        <v>8.9304586272387798E-2</v>
      </c>
      <c r="AM163" s="43">
        <v>6.484209907676286E-2</v>
      </c>
      <c r="AN163" s="43">
        <v>0.21720125394790291</v>
      </c>
      <c r="AO163" s="43">
        <v>0.2147904602738713</v>
      </c>
      <c r="AP163" s="43">
        <v>-8.3594644386709716E-3</v>
      </c>
      <c r="AQ163" s="43">
        <v>0.13990697099236621</v>
      </c>
      <c r="AR163" s="43">
        <v>4.9642959604052413E-2</v>
      </c>
      <c r="AS163" s="43">
        <v>-2.313885069394184E-2</v>
      </c>
      <c r="AT163" s="43">
        <v>0.16568578524729879</v>
      </c>
      <c r="AU163" s="43">
        <v>0.10418047851770409</v>
      </c>
      <c r="AV163" s="43">
        <v>3.5311563699601978E-2</v>
      </c>
      <c r="AW163" s="43">
        <v>-9.4962939670245605E-3</v>
      </c>
      <c r="AX163" s="43">
        <v>6.2850460722933432E-2</v>
      </c>
      <c r="AY163" s="43">
        <v>7.0197877164508427E-2</v>
      </c>
      <c r="AZ163" s="43">
        <v>6.4727464904234644E-2</v>
      </c>
    </row>
    <row r="164" spans="1:52" ht="16" x14ac:dyDescent="0.2">
      <c r="A164" s="41">
        <v>45108</v>
      </c>
      <c r="B164" s="44">
        <v>1.2785391554662301E-2</v>
      </c>
      <c r="C164" s="44">
        <v>2.6086312163597469E-2</v>
      </c>
      <c r="D164" s="44">
        <v>0.116934894001357</v>
      </c>
      <c r="E164" s="44">
        <v>-1.218983053525757E-2</v>
      </c>
      <c r="F164" s="44">
        <v>5.4634789866396798E-2</v>
      </c>
      <c r="G164" s="44">
        <v>2.546787396352657E-2</v>
      </c>
      <c r="H164" s="44">
        <v>8.3044955482390437E-2</v>
      </c>
      <c r="I164" s="44">
        <v>9.6946120879989772E-2</v>
      </c>
      <c r="J164" s="44">
        <v>4.1401959302324931E-2</v>
      </c>
      <c r="K164" s="44">
        <v>1.34252709421594E-2</v>
      </c>
      <c r="L164" s="44">
        <v>4.0101602847632423E-2</v>
      </c>
      <c r="M164" s="44">
        <v>-4.3682612968012346E-3</v>
      </c>
      <c r="N164" s="44">
        <v>-1.901530773931082E-2</v>
      </c>
      <c r="O164" s="44">
        <v>1.062056762492913E-2</v>
      </c>
      <c r="P164" s="44">
        <v>0.1659217745736947</v>
      </c>
      <c r="Q164" s="44">
        <v>3.1397093404386567E-2</v>
      </c>
      <c r="R164" s="44">
        <v>8.1909007495335251E-2</v>
      </c>
      <c r="S164" s="44">
        <v>4.5595944859492032E-2</v>
      </c>
      <c r="T164" s="44">
        <v>4.0732472264294113E-2</v>
      </c>
      <c r="U164" s="44">
        <v>0.1087719727206571</v>
      </c>
      <c r="V164" s="44">
        <v>0.1033360043999159</v>
      </c>
      <c r="W164" s="44">
        <v>7.4684610495670656E-2</v>
      </c>
      <c r="X164" s="44">
        <v>2.3614477441014081E-2</v>
      </c>
      <c r="Y164" s="44">
        <v>1.21436741905161E-2</v>
      </c>
      <c r="Z164" s="44">
        <v>9.3542652531004578E-2</v>
      </c>
      <c r="AA164" s="44">
        <v>2.8395758353021439E-2</v>
      </c>
      <c r="AB164" s="44">
        <v>0.11052463501741069</v>
      </c>
      <c r="AC164" s="44">
        <v>-1.745902243667152E-2</v>
      </c>
      <c r="AD164" s="44">
        <v>-3.8593112322672369E-3</v>
      </c>
      <c r="AE164" s="44">
        <v>8.2047264547556731E-2</v>
      </c>
      <c r="AF164" s="44">
        <v>-1.356686630690673E-2</v>
      </c>
      <c r="AG164" s="44">
        <v>0.13332811196731581</v>
      </c>
      <c r="AH164" s="44">
        <v>-1.212923651479236E-2</v>
      </c>
      <c r="AI164" s="44">
        <v>2.7809703304334521E-2</v>
      </c>
      <c r="AJ164" s="44">
        <v>0.10465216928537879</v>
      </c>
      <c r="AK164" s="44">
        <v>0.20053475117669131</v>
      </c>
      <c r="AL164" s="44">
        <v>0.1018497670502878</v>
      </c>
      <c r="AM164" s="44">
        <v>3.6541367710058108E-2</v>
      </c>
      <c r="AN164" s="44">
        <v>5.1200056734414627E-2</v>
      </c>
      <c r="AO164" s="44">
        <v>2.5591307637943709E-2</v>
      </c>
      <c r="AP164" s="44">
        <v>1.728768404923842E-2</v>
      </c>
      <c r="AQ164" s="44">
        <v>8.8798948785662191E-4</v>
      </c>
      <c r="AR164" s="44">
        <v>0.1102988840465529</v>
      </c>
      <c r="AS164" s="44">
        <v>3.2524321751514318E-2</v>
      </c>
      <c r="AT164" s="44">
        <v>4.135303790824274E-2</v>
      </c>
      <c r="AU164" s="44">
        <v>2.0521248078674729E-2</v>
      </c>
      <c r="AV164" s="44">
        <v>6.914464588923197E-3</v>
      </c>
      <c r="AW164" s="44">
        <v>5.353269452375109E-2</v>
      </c>
      <c r="AX164" s="44">
        <v>0.13390694557810151</v>
      </c>
      <c r="AY164" s="44">
        <v>1.705065625183555E-2</v>
      </c>
      <c r="AZ164" s="44">
        <v>3.1138932355010859E-2</v>
      </c>
    </row>
    <row r="165" spans="1:52" ht="16" x14ac:dyDescent="0.2">
      <c r="A165" s="39">
        <v>45139</v>
      </c>
      <c r="B165" s="43">
        <v>-4.2383693019098057E-2</v>
      </c>
      <c r="C165" s="43">
        <v>-7.5720571850162122E-2</v>
      </c>
      <c r="D165" s="43">
        <v>2.411345251003838E-2</v>
      </c>
      <c r="E165" s="43">
        <v>-4.2262779944082229E-2</v>
      </c>
      <c r="F165" s="43">
        <v>0.1036383239501437</v>
      </c>
      <c r="G165" s="43">
        <v>3.2390799433662298E-2</v>
      </c>
      <c r="H165" s="43">
        <v>6.0187808857845138E-2</v>
      </c>
      <c r="I165" s="43">
        <v>3.3142049919469903E-2</v>
      </c>
      <c r="J165" s="43">
        <v>-1.8463740858694289E-2</v>
      </c>
      <c r="K165" s="43">
        <v>0.10203678121777469</v>
      </c>
      <c r="L165" s="43">
        <v>-6.1821242360250439E-3</v>
      </c>
      <c r="M165" s="43">
        <v>-5.8611832065359797E-2</v>
      </c>
      <c r="N165" s="43">
        <v>3.658228168013089E-3</v>
      </c>
      <c r="O165" s="43">
        <v>8.1388731093425593E-2</v>
      </c>
      <c r="P165" s="43">
        <v>-2.9502839858728921E-2</v>
      </c>
      <c r="Q165" s="43">
        <v>0.1359716098255459</v>
      </c>
      <c r="R165" s="43">
        <v>3.4251756703708169E-2</v>
      </c>
      <c r="S165" s="43">
        <v>1.368614737960727E-2</v>
      </c>
      <c r="T165" s="43">
        <v>1.925668351087761E-3</v>
      </c>
      <c r="U165" s="43">
        <v>2.5994460739156899E-2</v>
      </c>
      <c r="V165" s="43">
        <v>-7.1451538109952306E-2</v>
      </c>
      <c r="W165" s="43">
        <v>-4.285823298567748E-3</v>
      </c>
      <c r="X165" s="43">
        <v>1.271182584865649E-2</v>
      </c>
      <c r="Y165" s="43">
        <v>-2.7912285265905171E-2</v>
      </c>
      <c r="Z165" s="43">
        <v>-7.3626456971768839E-2</v>
      </c>
      <c r="AA165" s="43">
        <v>-3.3909241278489273E-2</v>
      </c>
      <c r="AB165" s="43">
        <v>-6.0960716655170673E-2</v>
      </c>
      <c r="AC165" s="43">
        <v>-3.5942949919967493E-2</v>
      </c>
      <c r="AD165" s="43">
        <v>-7.1330826349902177E-2</v>
      </c>
      <c r="AE165" s="43">
        <v>-7.0008568275821803E-2</v>
      </c>
      <c r="AF165" s="43">
        <v>-2.222581039490934E-2</v>
      </c>
      <c r="AG165" s="43">
        <v>-2.0310974446755229E-2</v>
      </c>
      <c r="AH165" s="43">
        <v>-8.2362923903562479E-2</v>
      </c>
      <c r="AI165" s="43">
        <v>-1.6792817417461969E-2</v>
      </c>
      <c r="AJ165" s="43">
        <v>5.6196562251245467E-2</v>
      </c>
      <c r="AK165" s="43">
        <v>1.5144772429102281E-2</v>
      </c>
      <c r="AL165" s="43">
        <v>-2.7446281350299691E-2</v>
      </c>
      <c r="AM165" s="43">
        <v>-1.254003112584123E-2</v>
      </c>
      <c r="AN165" s="43">
        <v>2.059642523151628E-2</v>
      </c>
      <c r="AO165" s="43">
        <v>-0.1017013405090984</v>
      </c>
      <c r="AP165" s="43">
        <v>-4.4088291258375101E-3</v>
      </c>
      <c r="AQ165" s="43">
        <v>0.1779948678478738</v>
      </c>
      <c r="AR165" s="43">
        <v>-0.12732866947464541</v>
      </c>
      <c r="AS165" s="43">
        <v>0.1140031347426111</v>
      </c>
      <c r="AT165" s="43">
        <v>-1.5105469740440251E-2</v>
      </c>
      <c r="AU165" s="43">
        <v>7.2888616891064961E-2</v>
      </c>
      <c r="AV165" s="43">
        <v>-6.6333419730231102E-2</v>
      </c>
      <c r="AW165" s="43">
        <v>-5.8830599311193721E-2</v>
      </c>
      <c r="AX165" s="43">
        <v>-4.3785873696321032E-2</v>
      </c>
      <c r="AY165" s="43">
        <v>2.0818789239396951E-2</v>
      </c>
      <c r="AZ165" s="43">
        <v>-1.7716390070854019E-2</v>
      </c>
    </row>
    <row r="166" spans="1:52" ht="16" x14ac:dyDescent="0.2">
      <c r="A166" s="41">
        <v>45170</v>
      </c>
      <c r="B166" s="44">
        <v>-8.8678440892111188E-2</v>
      </c>
      <c r="C166" s="44">
        <v>-5.8795080043953729E-2</v>
      </c>
      <c r="D166" s="44">
        <v>-8.8389942763312135E-2</v>
      </c>
      <c r="E166" s="44">
        <v>-2.8620234825290299E-2</v>
      </c>
      <c r="F166" s="44">
        <v>4.8451174622674557E-2</v>
      </c>
      <c r="G166" s="44">
        <v>-7.8907268992859048E-2</v>
      </c>
      <c r="H166" s="44">
        <v>-2.8919081260682211E-2</v>
      </c>
      <c r="I166" s="44">
        <v>-5.1753619543963292E-2</v>
      </c>
      <c r="J166" s="44">
        <v>2.8546414039495319E-2</v>
      </c>
      <c r="K166" s="44">
        <v>-6.2598049288040691E-2</v>
      </c>
      <c r="L166" s="44">
        <v>4.6678944184967319E-2</v>
      </c>
      <c r="M166" s="44">
        <v>-3.1429143702388578E-2</v>
      </c>
      <c r="N166" s="44">
        <v>-7.5643205307519779E-2</v>
      </c>
      <c r="O166" s="44">
        <v>-1.7099119834559921E-2</v>
      </c>
      <c r="P166" s="44">
        <v>-1.446117870078301E-2</v>
      </c>
      <c r="Q166" s="44">
        <v>-2.411786614109368E-2</v>
      </c>
      <c r="R166" s="44">
        <v>-1.539780163798421E-2</v>
      </c>
      <c r="S166" s="44">
        <v>-2.5017436087388489E-2</v>
      </c>
      <c r="T166" s="44">
        <v>-3.3465151651622671E-2</v>
      </c>
      <c r="U166" s="44">
        <v>-3.8995158099882847E-2</v>
      </c>
      <c r="V166" s="44">
        <v>-1.2632980775539541E-2</v>
      </c>
      <c r="W166" s="44">
        <v>-8.5195200978724128E-2</v>
      </c>
      <c r="X166" s="44">
        <v>-0.1047574531134504</v>
      </c>
      <c r="Y166" s="44">
        <v>-3.6677495063706211E-2</v>
      </c>
      <c r="Z166" s="44">
        <v>-8.9524826681406378E-3</v>
      </c>
      <c r="AA166" s="44">
        <v>-5.6925833526826668E-2</v>
      </c>
      <c r="AB166" s="44">
        <v>-5.1732435953016132E-2</v>
      </c>
      <c r="AC166" s="44">
        <v>-6.2991406981983245E-2</v>
      </c>
      <c r="AD166" s="44">
        <v>-3.0315891089252141E-2</v>
      </c>
      <c r="AE166" s="44">
        <v>-4.0868971867166433E-2</v>
      </c>
      <c r="AF166" s="44">
        <v>-3.6642838690570168E-2</v>
      </c>
      <c r="AG166" s="44">
        <v>-2.7308934032851399E-2</v>
      </c>
      <c r="AH166" s="44">
        <v>-0.14236525914353981</v>
      </c>
      <c r="AI166" s="44">
        <v>-1.0691064494522619E-2</v>
      </c>
      <c r="AJ166" s="44">
        <v>-0.1185779838893664</v>
      </c>
      <c r="AK166" s="44">
        <v>0.12856508469163219</v>
      </c>
      <c r="AL166" s="44">
        <v>-2.714718588477916E-2</v>
      </c>
      <c r="AM166" s="44">
        <v>-5.4943697006980978E-2</v>
      </c>
      <c r="AN166" s="44">
        <v>-6.5675216311776308E-2</v>
      </c>
      <c r="AO166" s="44">
        <v>-0.14941082113685841</v>
      </c>
      <c r="AP166" s="44">
        <v>-9.0171316802311718E-2</v>
      </c>
      <c r="AQ166" s="44">
        <v>-4.3085358487384713E-2</v>
      </c>
      <c r="AR166" s="44">
        <v>-3.029753015769265E-2</v>
      </c>
      <c r="AS166" s="44">
        <v>-4.2710853670654414E-3</v>
      </c>
      <c r="AT166" s="44">
        <v>-6.1349789133294252E-2</v>
      </c>
      <c r="AU166" s="44">
        <v>-3.8927476697562143E-2</v>
      </c>
      <c r="AV166" s="44">
        <v>-5.3849669762601082E-2</v>
      </c>
      <c r="AW166" s="44">
        <v>6.2052285300537857E-2</v>
      </c>
      <c r="AX166" s="44">
        <v>-7.6801035862374301E-2</v>
      </c>
      <c r="AY166" s="44">
        <v>-1.6481221871518788E-2</v>
      </c>
      <c r="AZ166" s="44">
        <v>-4.8719367465624892E-2</v>
      </c>
    </row>
    <row r="167" spans="1:52" ht="16" x14ac:dyDescent="0.2">
      <c r="A167" s="39">
        <v>45200</v>
      </c>
      <c r="B167" s="43">
        <v>-2.5698497816666328E-3</v>
      </c>
      <c r="C167" s="43">
        <v>-1.8343765764363699E-2</v>
      </c>
      <c r="D167" s="43">
        <v>4.3459509565336729E-2</v>
      </c>
      <c r="E167" s="43">
        <v>-7.3834965785493534E-2</v>
      </c>
      <c r="F167" s="43">
        <v>-4.8593426160160942E-2</v>
      </c>
      <c r="G167" s="43">
        <v>4.6963447626806383E-2</v>
      </c>
      <c r="H167" s="43">
        <v>-0.1676994919241297</v>
      </c>
      <c r="I167" s="43">
        <v>-6.2676817571146404E-2</v>
      </c>
      <c r="J167" s="43">
        <v>-2.2160790936978089E-2</v>
      </c>
      <c r="K167" s="43">
        <v>-2.3316561996216682E-2</v>
      </c>
      <c r="L167" s="43">
        <v>-0.1357489723704399</v>
      </c>
      <c r="M167" s="43">
        <v>6.6625928976613569E-3</v>
      </c>
      <c r="N167" s="43">
        <v>-9.7992677582251497E-3</v>
      </c>
      <c r="O167" s="43">
        <v>-7.8699361635728993E-2</v>
      </c>
      <c r="P167" s="43">
        <v>2.1540099727046509E-3</v>
      </c>
      <c r="Q167" s="43">
        <v>-5.7665913358537102E-2</v>
      </c>
      <c r="R167" s="43">
        <v>-5.9265254362234399E-2</v>
      </c>
      <c r="S167" s="43">
        <v>9.8660708069536085E-2</v>
      </c>
      <c r="T167" s="43">
        <v>-1.7367695145471981E-2</v>
      </c>
      <c r="U167" s="43">
        <v>-5.1811233726700379E-2</v>
      </c>
      <c r="V167" s="43">
        <v>-6.1687032583281787E-2</v>
      </c>
      <c r="W167" s="43">
        <v>-5.7817052962704667E-2</v>
      </c>
      <c r="X167" s="43">
        <v>-6.6470488526226723E-2</v>
      </c>
      <c r="Y167" s="43">
        <v>-4.7576143690332577E-2</v>
      </c>
      <c r="Z167" s="43">
        <v>-3.402226001761488E-2</v>
      </c>
      <c r="AA167" s="43">
        <v>9.1104189302464444E-3</v>
      </c>
      <c r="AB167" s="43">
        <v>6.152273639483874E-2</v>
      </c>
      <c r="AC167" s="43">
        <v>-4.8207877839003821E-3</v>
      </c>
      <c r="AD167" s="43">
        <v>-9.9540676234704306E-2</v>
      </c>
      <c r="AE167" s="43">
        <v>-0.12225410978501899</v>
      </c>
      <c r="AF167" s="43">
        <v>7.0815991915889054E-2</v>
      </c>
      <c r="AG167" s="43">
        <v>-1.54116187257336E-2</v>
      </c>
      <c r="AH167" s="43">
        <v>1.7629536607391531E-2</v>
      </c>
      <c r="AI167" s="43">
        <v>-3.4445046753580399E-2</v>
      </c>
      <c r="AJ167" s="43">
        <v>-6.2507242942639207E-2</v>
      </c>
      <c r="AK167" s="43">
        <v>-0.14502331422301459</v>
      </c>
      <c r="AL167" s="43">
        <v>4.3087583526153939E-2</v>
      </c>
      <c r="AM167" s="43">
        <v>3.5081264388180822E-2</v>
      </c>
      <c r="AN167" s="43">
        <v>-5.2911326751484022E-2</v>
      </c>
      <c r="AO167" s="43">
        <v>-9.1538770802936265E-2</v>
      </c>
      <c r="AP167" s="43">
        <v>-0.1021299070884395</v>
      </c>
      <c r="AQ167" s="43">
        <v>-1.605789902727783E-2</v>
      </c>
      <c r="AR167" s="43">
        <v>-1.8638591717988762E-2</v>
      </c>
      <c r="AS167" s="43">
        <v>-5.2335541958691167E-2</v>
      </c>
      <c r="AT167" s="43">
        <v>-6.6026393231239489E-2</v>
      </c>
      <c r="AU167" s="43">
        <v>-9.1132024918303411E-3</v>
      </c>
      <c r="AV167" s="43">
        <v>-9.8725016400772359E-2</v>
      </c>
      <c r="AW167" s="43">
        <v>6.2218586199615837E-2</v>
      </c>
      <c r="AX167" s="43">
        <v>1.9545087134300591E-2</v>
      </c>
      <c r="AY167" s="43">
        <v>2.175947355097585E-2</v>
      </c>
      <c r="AZ167" s="43">
        <v>-2.197968873798295E-2</v>
      </c>
    </row>
    <row r="168" spans="1:52" ht="16" x14ac:dyDescent="0.2">
      <c r="A168" s="41">
        <v>45231</v>
      </c>
      <c r="B168" s="44">
        <v>0.1137802162533024</v>
      </c>
      <c r="C168" s="44">
        <v>0.10301403338261771</v>
      </c>
      <c r="D168" s="44">
        <v>0.14838554405386731</v>
      </c>
      <c r="E168" s="44">
        <v>0.1051963911514109</v>
      </c>
      <c r="F168" s="44">
        <v>6.2808216007636419E-2</v>
      </c>
      <c r="G168" s="44">
        <v>9.7678265517382901E-2</v>
      </c>
      <c r="H168" s="44">
        <v>0.1091352174065621</v>
      </c>
      <c r="I168" s="44">
        <v>1.4531225266022799E-2</v>
      </c>
      <c r="J168" s="44">
        <v>7.4917890477640636E-2</v>
      </c>
      <c r="K168" s="44">
        <v>-7.1935651570937398E-2</v>
      </c>
      <c r="L168" s="44">
        <v>-4.2866355848739657E-3</v>
      </c>
      <c r="M168" s="44">
        <v>0.13604600551912679</v>
      </c>
      <c r="N168" s="44">
        <v>0.14301890782645141</v>
      </c>
      <c r="O168" s="44">
        <v>5.1849350764405777E-3</v>
      </c>
      <c r="P168" s="44">
        <v>-2.5188224388879351E-2</v>
      </c>
      <c r="Q168" s="44">
        <v>5.9252030321192313E-2</v>
      </c>
      <c r="R168" s="44">
        <v>0.12929617109975819</v>
      </c>
      <c r="S168" s="44">
        <v>2.3455256911206309E-2</v>
      </c>
      <c r="T168" s="44">
        <v>0.1212371352597368</v>
      </c>
      <c r="U168" s="44">
        <v>6.8101069924148216E-2</v>
      </c>
      <c r="V168" s="44">
        <v>0.1341676247143857</v>
      </c>
      <c r="W168" s="44">
        <v>0.10855677207164741</v>
      </c>
      <c r="X168" s="44">
        <v>7.602444744892134E-3</v>
      </c>
      <c r="Y168" s="44">
        <v>5.095413829586426E-2</v>
      </c>
      <c r="Z168" s="44">
        <v>0.1223935871215571</v>
      </c>
      <c r="AA168" s="44">
        <v>4.2756905028962462E-2</v>
      </c>
      <c r="AB168" s="44">
        <v>-4.2304853352335248E-2</v>
      </c>
      <c r="AC168" s="44">
        <v>8.1469195270640338E-2</v>
      </c>
      <c r="AD168" s="44">
        <v>0.1234410506968668</v>
      </c>
      <c r="AE168" s="44">
        <v>0.1203051520632603</v>
      </c>
      <c r="AF168" s="44">
        <v>0.122945190199893</v>
      </c>
      <c r="AG168" s="44">
        <v>0.13832788666883669</v>
      </c>
      <c r="AH168" s="44">
        <v>1.1768702334741921E-2</v>
      </c>
      <c r="AI168" s="44">
        <v>0.2557021837600888</v>
      </c>
      <c r="AJ168" s="44">
        <v>0.14688576525215821</v>
      </c>
      <c r="AK168" s="44">
        <v>-6.0482034449717781E-2</v>
      </c>
      <c r="AL168" s="44">
        <v>5.5981685781674617E-2</v>
      </c>
      <c r="AM168" s="44">
        <v>2.326195151855193E-2</v>
      </c>
      <c r="AN168" s="44">
        <v>0.17844080469424869</v>
      </c>
      <c r="AO168" s="44">
        <v>0.1508713757260598</v>
      </c>
      <c r="AP168" s="44">
        <v>0.1407444778058875</v>
      </c>
      <c r="AQ168" s="44">
        <v>1.567998059403131E-2</v>
      </c>
      <c r="AR168" s="44">
        <v>0.19158388988609579</v>
      </c>
      <c r="AS168" s="44">
        <v>5.6315695713432978E-2</v>
      </c>
      <c r="AT168" s="44">
        <v>0.1730760362668822</v>
      </c>
      <c r="AU168" s="44">
        <v>4.1381036006689076E-3</v>
      </c>
      <c r="AV168" s="44">
        <v>7.5346920496878633E-2</v>
      </c>
      <c r="AW168" s="44">
        <v>3.2508017109196929E-2</v>
      </c>
      <c r="AX168" s="44">
        <v>8.5063531507582502E-2</v>
      </c>
      <c r="AY168" s="44">
        <v>-4.7243061597452618E-2</v>
      </c>
      <c r="AZ168" s="44">
        <v>8.9179268781970134E-2</v>
      </c>
    </row>
    <row r="169" spans="1:52" ht="16" x14ac:dyDescent="0.2">
      <c r="A169" s="39">
        <v>45261</v>
      </c>
      <c r="B169" s="43">
        <v>1.358241377246761E-2</v>
      </c>
      <c r="C169" s="43">
        <v>5.5422496811895039E-2</v>
      </c>
      <c r="D169" s="43">
        <v>-2.3583957626512549E-2</v>
      </c>
      <c r="E169" s="43">
        <v>6.4793597747858644E-2</v>
      </c>
      <c r="F169" s="43">
        <v>6.8164898735543433E-2</v>
      </c>
      <c r="G169" s="43">
        <v>4.004385139407618E-2</v>
      </c>
      <c r="H169" s="43">
        <v>0.1792836993323679</v>
      </c>
      <c r="I169" s="43">
        <v>4.6789108664866852E-2</v>
      </c>
      <c r="J169" s="43">
        <v>0.13893202562707271</v>
      </c>
      <c r="K169" s="43">
        <v>4.4233270628543993E-2</v>
      </c>
      <c r="L169" s="43">
        <v>3.8718509585910832E-2</v>
      </c>
      <c r="M169" s="43">
        <v>-2.2718102159850932E-2</v>
      </c>
      <c r="N169" s="43">
        <v>3.7533064979402793E-2</v>
      </c>
      <c r="O169" s="43">
        <v>9.4825531669965768E-2</v>
      </c>
      <c r="P169" s="43">
        <v>-4.6241614904534156E-3</v>
      </c>
      <c r="Q169" s="43">
        <v>9.9954165912749415E-2</v>
      </c>
      <c r="R169" s="43">
        <v>4.5504954582842087E-2</v>
      </c>
      <c r="S169" s="43">
        <v>5.1423397226332712E-2</v>
      </c>
      <c r="T169" s="43">
        <v>4.8523470800251101E-2</v>
      </c>
      <c r="U169" s="43">
        <v>5.4025778698837623E-2</v>
      </c>
      <c r="V169" s="43">
        <v>0.12950139678712899</v>
      </c>
      <c r="W169" s="43">
        <v>0.1054578631625098</v>
      </c>
      <c r="X169" s="43">
        <v>0.15550240594795131</v>
      </c>
      <c r="Y169" s="43">
        <v>1.3448992601929669E-2</v>
      </c>
      <c r="Z169" s="43">
        <v>8.9825633289385198E-2</v>
      </c>
      <c r="AA169" s="43">
        <v>8.3846987423934483E-3</v>
      </c>
      <c r="AB169" s="43">
        <v>8.2558129396150814E-2</v>
      </c>
      <c r="AC169" s="43">
        <v>5.205080408794216E-2</v>
      </c>
      <c r="AD169" s="43">
        <v>4.7938324403518529E-2</v>
      </c>
      <c r="AE169" s="43">
        <v>0.17532142323411851</v>
      </c>
      <c r="AF169" s="43">
        <v>-7.5744881565128486E-3</v>
      </c>
      <c r="AG169" s="43">
        <v>0.1226258026975149</v>
      </c>
      <c r="AH169" s="43">
        <v>3.8113204265692653E-2</v>
      </c>
      <c r="AI169" s="43">
        <v>-3.5342979590821111E-2</v>
      </c>
      <c r="AJ169" s="43">
        <v>5.8934214875492767E-2</v>
      </c>
      <c r="AK169" s="43">
        <v>3.000972138492353E-2</v>
      </c>
      <c r="AL169" s="43">
        <v>1.9898167986022841E-2</v>
      </c>
      <c r="AM169" s="43">
        <v>-4.5466375780253698E-2</v>
      </c>
      <c r="AN169" s="43">
        <v>6.3530114963156414E-2</v>
      </c>
      <c r="AO169" s="43">
        <v>0.48461912376598909</v>
      </c>
      <c r="AP169" s="43">
        <v>0.16724228439759309</v>
      </c>
      <c r="AQ169" s="43">
        <v>0.25771892667266921</v>
      </c>
      <c r="AR169" s="43">
        <v>0.1207287189164616</v>
      </c>
      <c r="AS169" s="43">
        <v>6.6131687956823892E-2</v>
      </c>
      <c r="AT169" s="43">
        <v>0.11872310305871039</v>
      </c>
      <c r="AU169" s="43">
        <v>6.4691662609932088E-2</v>
      </c>
      <c r="AV169" s="43">
        <v>0.11623311442102451</v>
      </c>
      <c r="AW169" s="43">
        <v>-4.4675284350628293E-2</v>
      </c>
      <c r="AX169" s="43">
        <v>9.6454292089325211E-2</v>
      </c>
      <c r="AY169" s="43">
        <v>1.6349825720854309E-2</v>
      </c>
      <c r="AZ169" s="43">
        <v>4.4229231156360127E-2</v>
      </c>
    </row>
    <row r="170" spans="1:52" ht="16" x14ac:dyDescent="0.2">
      <c r="A170" s="41">
        <v>45292</v>
      </c>
      <c r="B170" s="44">
        <v>-4.2227176094600249E-2</v>
      </c>
      <c r="C170" s="44">
        <v>3.2948441520181497E-2</v>
      </c>
      <c r="D170" s="44">
        <v>3.5501264796626852E-2</v>
      </c>
      <c r="E170" s="44">
        <v>-6.7312871326992929E-2</v>
      </c>
      <c r="F170" s="44">
        <v>9.110497608039636E-2</v>
      </c>
      <c r="G170" s="44">
        <v>2.1455801332457721E-2</v>
      </c>
      <c r="H170" s="44">
        <v>2.0398611281437159E-2</v>
      </c>
      <c r="I170" s="44">
        <v>6.841143106785097E-2</v>
      </c>
      <c r="J170" s="44">
        <v>5.2720867089574019E-2</v>
      </c>
      <c r="K170" s="44">
        <v>9.989534155507851E-4</v>
      </c>
      <c r="L170" s="44">
        <v>-1.1598269733768979E-2</v>
      </c>
      <c r="M170" s="44">
        <v>6.3794500230287765E-2</v>
      </c>
      <c r="N170" s="44">
        <v>-6.5538700342160361E-4</v>
      </c>
      <c r="O170" s="44">
        <v>-5.7536167418088091E-2</v>
      </c>
      <c r="P170" s="44">
        <v>-5.1762430063746812E-2</v>
      </c>
      <c r="Q170" s="44">
        <v>-9.2955379887958545E-2</v>
      </c>
      <c r="R170" s="44">
        <v>2.6371669088026909E-2</v>
      </c>
      <c r="S170" s="44">
        <v>2.5904856197398018E-2</v>
      </c>
      <c r="T170" s="44">
        <v>3.7530266619963948E-2</v>
      </c>
      <c r="U170" s="44">
        <v>2.935237315558004E-3</v>
      </c>
      <c r="V170" s="44">
        <v>-4.5620175422333986E-3</v>
      </c>
      <c r="W170" s="44">
        <v>1.8496656347497979E-2</v>
      </c>
      <c r="X170" s="44">
        <v>-6.4022939945037716E-2</v>
      </c>
      <c r="Y170" s="44">
        <v>1.3780497296023819E-2</v>
      </c>
      <c r="Z170" s="44">
        <v>3.1364920524698643E-2</v>
      </c>
      <c r="AA170" s="44">
        <v>9.5029239257335973E-3</v>
      </c>
      <c r="AB170" s="44">
        <v>7.3551539712497496E-3</v>
      </c>
      <c r="AC170" s="44">
        <v>-1.278217842364493E-2</v>
      </c>
      <c r="AD170" s="44">
        <v>6.2636681438982267E-2</v>
      </c>
      <c r="AE170" s="44">
        <v>-5.5285858045530101E-2</v>
      </c>
      <c r="AF170" s="44">
        <v>5.7281281960976933E-2</v>
      </c>
      <c r="AG170" s="44">
        <v>4.8042639836933798E-3</v>
      </c>
      <c r="AH170" s="44">
        <v>-3.4738186671068871E-2</v>
      </c>
      <c r="AI170" s="44">
        <v>-5.126195724208471E-3</v>
      </c>
      <c r="AJ170" s="44">
        <v>0.24241752419444881</v>
      </c>
      <c r="AK170" s="44">
        <v>-2.3496239843346482E-2</v>
      </c>
      <c r="AL170" s="44">
        <v>-1.4199681079414271E-2</v>
      </c>
      <c r="AM170" s="44">
        <v>7.9107560491704865E-2</v>
      </c>
      <c r="AN170" s="44">
        <v>8.2483361055267768E-3</v>
      </c>
      <c r="AO170" s="44">
        <v>-6.8536865424306037E-2</v>
      </c>
      <c r="AP170" s="44">
        <v>-4.9587454279919063E-2</v>
      </c>
      <c r="AQ170" s="44">
        <v>-5.3857747604880712E-2</v>
      </c>
      <c r="AR170" s="44">
        <v>2.6826765973010151E-2</v>
      </c>
      <c r="AS170" s="44">
        <v>7.3426809627439527E-2</v>
      </c>
      <c r="AT170" s="44">
        <v>-2.4110032021794181E-2</v>
      </c>
      <c r="AU170" s="44">
        <v>1.17259455470069E-2</v>
      </c>
      <c r="AV170" s="44">
        <v>-5.3246775339051873E-2</v>
      </c>
      <c r="AW170" s="44">
        <v>-2.797866872292909E-2</v>
      </c>
      <c r="AX170" s="44">
        <v>-6.8805515423294716E-3</v>
      </c>
      <c r="AY170" s="44">
        <v>4.8208106809014988E-2</v>
      </c>
      <c r="AZ170" s="44">
        <v>1.5895707598991619E-2</v>
      </c>
    </row>
    <row r="171" spans="1:52" ht="16" x14ac:dyDescent="0.2">
      <c r="A171" s="39">
        <v>45323</v>
      </c>
      <c r="B171" s="43">
        <v>-1.8543247041969631E-2</v>
      </c>
      <c r="C171" s="43">
        <v>4.8519617379254372E-2</v>
      </c>
      <c r="D171" s="43">
        <v>-9.3075200351561249E-2</v>
      </c>
      <c r="E171" s="43">
        <v>6.5588919229290221E-2</v>
      </c>
      <c r="F171" s="43">
        <v>-0.1218399334628517</v>
      </c>
      <c r="G171" s="43">
        <v>0.13891751277407449</v>
      </c>
      <c r="H171" s="43">
        <v>0.1120509660841891</v>
      </c>
      <c r="I171" s="43">
        <v>-7.9286513009759862E-2</v>
      </c>
      <c r="J171" s="43">
        <v>7.2104068890674E-2</v>
      </c>
      <c r="K171" s="43">
        <v>-3.6070157371685292E-2</v>
      </c>
      <c r="L171" s="43">
        <v>4.2316390760716471E-2</v>
      </c>
      <c r="M171" s="43">
        <v>0.1616866447864391</v>
      </c>
      <c r="N171" s="43">
        <v>0.1342951137778223</v>
      </c>
      <c r="O171" s="43">
        <v>0.17061618438072881</v>
      </c>
      <c r="P171" s="43">
        <v>5.8881190592048327E-3</v>
      </c>
      <c r="Q171" s="43">
        <v>6.4337954124935592E-3</v>
      </c>
      <c r="R171" s="43">
        <v>1.916170022285146E-2</v>
      </c>
      <c r="S171" s="43">
        <v>3.1170902806940241E-2</v>
      </c>
      <c r="T171" s="43">
        <v>0.1847908391386246</v>
      </c>
      <c r="U171" s="43">
        <v>-1.170614784965451E-2</v>
      </c>
      <c r="V171" s="43">
        <v>2.0303936695600159E-2</v>
      </c>
      <c r="W171" s="43">
        <v>7.8337174795948483E-2</v>
      </c>
      <c r="X171" s="43">
        <v>-6.976345826418151E-3</v>
      </c>
      <c r="Y171" s="43">
        <v>2.3318624025442599E-2</v>
      </c>
      <c r="Z171" s="43">
        <v>6.7102393098226187E-2</v>
      </c>
      <c r="AA171" s="43">
        <v>8.9088861906749806E-3</v>
      </c>
      <c r="AB171" s="43">
        <v>-8.0429833453317001E-2</v>
      </c>
      <c r="AC171" s="43">
        <v>4.1777017882773659E-3</v>
      </c>
      <c r="AD171" s="43">
        <v>-4.7749595493894681E-2</v>
      </c>
      <c r="AE171" s="43">
        <v>-1.375505897249518E-2</v>
      </c>
      <c r="AF171" s="43">
        <v>4.2318315706026288E-2</v>
      </c>
      <c r="AG171" s="43">
        <v>5.6676512695654768E-2</v>
      </c>
      <c r="AH171" s="43">
        <v>-5.0056993347624701E-2</v>
      </c>
      <c r="AI171" s="43">
        <v>2.2018558077522291E-2</v>
      </c>
      <c r="AJ171" s="43">
        <v>0.28580942138030091</v>
      </c>
      <c r="AK171" s="43">
        <v>-4.9085679694861002E-2</v>
      </c>
      <c r="AL171" s="43">
        <v>0.1006593369358466</v>
      </c>
      <c r="AM171" s="43">
        <v>1.1454560925446611E-2</v>
      </c>
      <c r="AN171" s="43">
        <v>0.1560722624541844</v>
      </c>
      <c r="AO171" s="43">
        <v>-1.471589349526869E-2</v>
      </c>
      <c r="AP171" s="43">
        <v>5.1937833854222237E-2</v>
      </c>
      <c r="AQ171" s="43">
        <v>9.0680499813972304E-2</v>
      </c>
      <c r="AR171" s="43">
        <v>6.7884239486788234E-2</v>
      </c>
      <c r="AS171" s="43">
        <v>2.472476664323198E-2</v>
      </c>
      <c r="AT171" s="43">
        <v>9.3278422218722623E-2</v>
      </c>
      <c r="AU171" s="43">
        <v>4.8131577476918652E-2</v>
      </c>
      <c r="AV171" s="43">
        <v>4.5028626988733889E-2</v>
      </c>
      <c r="AW171" s="43">
        <v>-3.5447686676408192E-2</v>
      </c>
      <c r="AX171" s="43">
        <v>4.5376880458174229E-2</v>
      </c>
      <c r="AY171" s="43">
        <v>6.4024198772744345E-2</v>
      </c>
      <c r="AZ171" s="43">
        <v>5.1720640623723169E-2</v>
      </c>
    </row>
    <row r="172" spans="1:52" ht="16" x14ac:dyDescent="0.2">
      <c r="A172" s="41">
        <v>45352</v>
      </c>
      <c r="B172" s="44">
        <v>-5.1286127890303727E-2</v>
      </c>
      <c r="C172" s="44">
        <v>-4.1975857317259953E-2</v>
      </c>
      <c r="D172" s="44">
        <v>-9.9378918187098653E-2</v>
      </c>
      <c r="E172" s="44">
        <v>0.11985259758233829</v>
      </c>
      <c r="F172" s="44">
        <v>3.8308626841463189E-2</v>
      </c>
      <c r="G172" s="44">
        <v>2.047980588637421E-2</v>
      </c>
      <c r="H172" s="44">
        <v>9.7227344045476505E-2</v>
      </c>
      <c r="I172" s="44">
        <v>1.166852498421167E-2</v>
      </c>
      <c r="J172" s="44">
        <v>-1.5136740444343429E-2</v>
      </c>
      <c r="K172" s="44">
        <v>3.183780665431013E-2</v>
      </c>
      <c r="L172" s="44">
        <v>3.7695048529023278E-2</v>
      </c>
      <c r="M172" s="44">
        <v>9.6612217173672965E-2</v>
      </c>
      <c r="N172" s="44">
        <v>2.9541237197363349E-2</v>
      </c>
      <c r="O172" s="44">
        <v>6.1488091222768881E-2</v>
      </c>
      <c r="P172" s="44">
        <v>0.1168968037443165</v>
      </c>
      <c r="Q172" s="44">
        <v>8.3561641807410547E-2</v>
      </c>
      <c r="R172" s="44">
        <v>1.2658877800100219E-2</v>
      </c>
      <c r="S172" s="44">
        <v>3.3815209601820717E-2</v>
      </c>
      <c r="T172" s="44">
        <v>0.11880922529270579</v>
      </c>
      <c r="U172" s="44">
        <v>9.0062147733646958E-2</v>
      </c>
      <c r="V172" s="44">
        <v>7.3615413434968024E-2</v>
      </c>
      <c r="W172" s="44">
        <v>1.388396302186146E-2</v>
      </c>
      <c r="X172" s="44">
        <v>-2.381767263727352E-2</v>
      </c>
      <c r="Y172" s="44">
        <v>-1.9767088921740061E-2</v>
      </c>
      <c r="Z172" s="44">
        <v>7.6534598192581571E-2</v>
      </c>
      <c r="AA172" s="44">
        <v>2.748024981324693E-2</v>
      </c>
      <c r="AB172" s="44">
        <v>-1.38295306202596E-2</v>
      </c>
      <c r="AC172" s="44">
        <v>-3.5342703644045008E-2</v>
      </c>
      <c r="AD172" s="44">
        <v>5.4120007591984987E-2</v>
      </c>
      <c r="AE172" s="44">
        <v>9.4374688126985351E-2</v>
      </c>
      <c r="AF172" s="44">
        <v>1.7116242533216312E-2</v>
      </c>
      <c r="AG172" s="44">
        <v>0.30232628022318869</v>
      </c>
      <c r="AH172" s="44">
        <v>0.15799953015787091</v>
      </c>
      <c r="AI172" s="44">
        <v>0.1778501082641564</v>
      </c>
      <c r="AJ172" s="44">
        <v>0.14218127790741139</v>
      </c>
      <c r="AK172" s="44">
        <v>0.18421049329382599</v>
      </c>
      <c r="AL172" s="44">
        <v>6.7225935120157398E-2</v>
      </c>
      <c r="AM172" s="44">
        <v>2.0825574731570429E-2</v>
      </c>
      <c r="AN172" s="44">
        <v>3.798679711939279E-2</v>
      </c>
      <c r="AO172" s="44">
        <v>-1.632515476752339E-2</v>
      </c>
      <c r="AP172" s="44">
        <v>-1.565851769844806E-2</v>
      </c>
      <c r="AQ172" s="44">
        <v>-4.6728925363883962E-2</v>
      </c>
      <c r="AR172" s="44">
        <v>7.2945102905310089E-2</v>
      </c>
      <c r="AS172" s="44">
        <v>-3.7264243806315318E-3</v>
      </c>
      <c r="AT172" s="44">
        <v>4.6080090957995257E-2</v>
      </c>
      <c r="AU172" s="44">
        <v>2.299783887275297E-2</v>
      </c>
      <c r="AV172" s="44">
        <v>4.111642690558992E-2</v>
      </c>
      <c r="AW172" s="44">
        <v>6.1795731984863878E-3</v>
      </c>
      <c r="AX172" s="44">
        <v>-3.058844485265233E-2</v>
      </c>
      <c r="AY172" s="44">
        <v>3.0113078378590789E-2</v>
      </c>
      <c r="AZ172" s="44">
        <v>3.1018779915342961E-2</v>
      </c>
    </row>
    <row r="173" spans="1:52" ht="16" x14ac:dyDescent="0.2">
      <c r="A173" s="39">
        <v>45383</v>
      </c>
      <c r="B173" s="43">
        <v>-6.7062633619506817E-3</v>
      </c>
      <c r="C173" s="43">
        <v>-6.3034050227876559E-2</v>
      </c>
      <c r="D173" s="43">
        <v>-8.2778476072156715E-2</v>
      </c>
      <c r="E173" s="43">
        <v>-6.9576108639510692E-2</v>
      </c>
      <c r="F173" s="43">
        <v>-3.6508100014127631E-2</v>
      </c>
      <c r="G173" s="43">
        <v>-2.982594931354909E-2</v>
      </c>
      <c r="H173" s="43">
        <v>-8.3618873966298746E-2</v>
      </c>
      <c r="I173" s="43">
        <v>-0.1143830227042978</v>
      </c>
      <c r="J173" s="43">
        <v>-1.1697160803330281E-2</v>
      </c>
      <c r="K173" s="43">
        <v>-5.1015454084086358E-2</v>
      </c>
      <c r="L173" s="43">
        <v>2.2378452993299991E-2</v>
      </c>
      <c r="M173" s="43">
        <v>-9.2023507190761689E-2</v>
      </c>
      <c r="N173" s="43">
        <v>-2.0571689358789062E-2</v>
      </c>
      <c r="O173" s="43">
        <v>-4.9726549465931691E-2</v>
      </c>
      <c r="P173" s="43">
        <v>4.055669189810196E-2</v>
      </c>
      <c r="Q173" s="43">
        <v>-1.13780220384373E-2</v>
      </c>
      <c r="R173" s="43">
        <v>-0.12806582229172381</v>
      </c>
      <c r="S173" s="43">
        <v>2.1284000277050019E-2</v>
      </c>
      <c r="T173" s="43">
        <v>0.15718787281067881</v>
      </c>
      <c r="U173" s="43">
        <v>7.8513281077693176E-2</v>
      </c>
      <c r="V173" s="43">
        <v>2.159492400040763E-2</v>
      </c>
      <c r="W173" s="43">
        <v>-0.1287278321326136</v>
      </c>
      <c r="X173" s="43">
        <v>-8.6361275727946274E-2</v>
      </c>
      <c r="Y173" s="43">
        <v>-8.5972556321264215E-2</v>
      </c>
      <c r="Z173" s="43">
        <v>-3.7152140257542772E-2</v>
      </c>
      <c r="AA173" s="43">
        <v>9.6435686996780845E-3</v>
      </c>
      <c r="AB173" s="43">
        <v>-1.283360016425983E-2</v>
      </c>
      <c r="AC173" s="43">
        <v>-3.1601150249434662E-2</v>
      </c>
      <c r="AD173" s="43">
        <v>-7.9288572459341844E-2</v>
      </c>
      <c r="AE173" s="43">
        <v>-2.6343876526662369E-2</v>
      </c>
      <c r="AF173" s="43">
        <v>-7.4610199697551227E-2</v>
      </c>
      <c r="AG173" s="43">
        <v>-4.1818498475370343E-2</v>
      </c>
      <c r="AH173" s="43">
        <v>4.7879929843456237E-2</v>
      </c>
      <c r="AI173" s="43">
        <v>-2.1699431345244991E-2</v>
      </c>
      <c r="AJ173" s="43">
        <v>-4.3760202316174723E-2</v>
      </c>
      <c r="AK173" s="43">
        <v>-2.0940161500265009E-2</v>
      </c>
      <c r="AL173" s="43">
        <v>-9.494361989315081E-4</v>
      </c>
      <c r="AM173" s="43">
        <v>1.2349955850302191E-2</v>
      </c>
      <c r="AN173" s="43">
        <v>-1.9575673329222051E-2</v>
      </c>
      <c r="AO173" s="43">
        <v>-3.2132763319853493E-2</v>
      </c>
      <c r="AP173" s="43">
        <v>-0.21632615637124561</v>
      </c>
      <c r="AQ173" s="43">
        <v>-2.1135773861716941E-2</v>
      </c>
      <c r="AR173" s="43">
        <v>-2.037792840678487E-2</v>
      </c>
      <c r="AS173" s="43">
        <v>-7.4629297180933474E-2</v>
      </c>
      <c r="AT173" s="43">
        <v>-0.1373910953273392</v>
      </c>
      <c r="AU173" s="43">
        <v>-7.2273740754953297E-2</v>
      </c>
      <c r="AV173" s="43">
        <v>1.2685913275596089E-2</v>
      </c>
      <c r="AW173" s="43">
        <v>-2.2235748999415269E-2</v>
      </c>
      <c r="AX173" s="43">
        <v>-3.5660674617812187E-2</v>
      </c>
      <c r="AY173" s="43">
        <v>-1.3628065972159041E-2</v>
      </c>
      <c r="AZ173" s="43">
        <v>-4.161507173789869E-2</v>
      </c>
    </row>
    <row r="174" spans="1:52" ht="16" x14ac:dyDescent="0.2">
      <c r="A174" s="41">
        <v>45413</v>
      </c>
      <c r="B174" s="44">
        <v>0.1302220683099857</v>
      </c>
      <c r="C174" s="44">
        <v>-3.5670359952747373E-2</v>
      </c>
      <c r="D174" s="44">
        <v>-3.9042364001666052E-2</v>
      </c>
      <c r="E174" s="44">
        <v>0.1940717185292242</v>
      </c>
      <c r="F174" s="44">
        <v>0.12441533594053961</v>
      </c>
      <c r="G174" s="44">
        <v>8.2285853794643593E-3</v>
      </c>
      <c r="H174" s="44">
        <v>1.180631925190689E-2</v>
      </c>
      <c r="I174" s="44">
        <v>5.0380251785045349E-2</v>
      </c>
      <c r="J174" s="44">
        <v>0.12033475015121579</v>
      </c>
      <c r="K174" s="44">
        <v>-1.02168692909923E-2</v>
      </c>
      <c r="L174" s="44">
        <v>1.654919169342994E-2</v>
      </c>
      <c r="M174" s="44">
        <v>-6.4716422083051839E-2</v>
      </c>
      <c r="N174" s="44">
        <v>2.675217477263736E-2</v>
      </c>
      <c r="O174" s="44">
        <v>4.5418363217879072E-2</v>
      </c>
      <c r="P174" s="44">
        <v>-5.7367852142017117E-2</v>
      </c>
      <c r="Q174" s="44">
        <v>-7.5447511487182428E-2</v>
      </c>
      <c r="R174" s="44">
        <v>2.2140243882177169E-2</v>
      </c>
      <c r="S174" s="44">
        <v>4.4167194086621508E-2</v>
      </c>
      <c r="T174" s="44">
        <v>2.0516520352133361E-2</v>
      </c>
      <c r="U174" s="44">
        <v>5.9712256426489141E-2</v>
      </c>
      <c r="V174" s="44">
        <v>7.6334397032937096E-2</v>
      </c>
      <c r="W174" s="44">
        <v>8.9101618165079444E-3</v>
      </c>
      <c r="X174" s="44">
        <v>0.11027861215375021</v>
      </c>
      <c r="Y174" s="44">
        <v>2.2585116806089101E-2</v>
      </c>
      <c r="Z174" s="44">
        <v>5.6795699464484262E-2</v>
      </c>
      <c r="AA174" s="44">
        <v>1.877936437037531E-2</v>
      </c>
      <c r="AB174" s="44">
        <v>-8.5084063038042279E-3</v>
      </c>
      <c r="AC174" s="44">
        <v>-5.1824012403281938E-2</v>
      </c>
      <c r="AD174" s="44">
        <v>1.4082832219493019E-2</v>
      </c>
      <c r="AE174" s="44">
        <v>7.7058594888304022E-2</v>
      </c>
      <c r="AF174" s="44">
        <v>6.8191066006073164E-2</v>
      </c>
      <c r="AG174" s="44">
        <v>0.10658621681176481</v>
      </c>
      <c r="AH174" s="44">
        <v>0.19486331625528661</v>
      </c>
      <c r="AI174" s="44">
        <v>0.1782604281696234</v>
      </c>
      <c r="AJ174" s="44">
        <v>0.2688710270916701</v>
      </c>
      <c r="AK174" s="44">
        <v>3.3609797594592823E-2</v>
      </c>
      <c r="AL174" s="44">
        <v>2.3761263250978489E-2</v>
      </c>
      <c r="AM174" s="44">
        <v>8.2108597303933717E-3</v>
      </c>
      <c r="AN174" s="44">
        <v>-2.169926029785629E-2</v>
      </c>
      <c r="AO174" s="44">
        <v>-2.1889626514554061E-3</v>
      </c>
      <c r="AP174" s="44">
        <v>8.27045040741754E-2</v>
      </c>
      <c r="AQ174" s="44">
        <v>-2.6534901380698469E-2</v>
      </c>
      <c r="AR174" s="44">
        <v>0.23537050051956829</v>
      </c>
      <c r="AS174" s="44">
        <v>0.1004871627344892</v>
      </c>
      <c r="AT174" s="44">
        <v>1.6281754450782952E-2</v>
      </c>
      <c r="AU174" s="44">
        <v>9.9923936967638349E-2</v>
      </c>
      <c r="AV174" s="44">
        <v>0.113340333905616</v>
      </c>
      <c r="AW174" s="44">
        <v>2.41264445468472E-2</v>
      </c>
      <c r="AX174" s="44">
        <v>-1.27009000397944E-2</v>
      </c>
      <c r="AY174" s="44">
        <v>0.1118386609675408</v>
      </c>
      <c r="AZ174" s="44">
        <v>4.80211901511991E-2</v>
      </c>
    </row>
    <row r="175" spans="1:52" ht="16" x14ac:dyDescent="0.2">
      <c r="A175" s="39">
        <v>45444</v>
      </c>
      <c r="B175" s="43">
        <v>9.5552697012450283E-2</v>
      </c>
      <c r="C175" s="43">
        <v>1.6831325703848151E-2</v>
      </c>
      <c r="D175" s="43">
        <v>0.24907807768080681</v>
      </c>
      <c r="E175" s="43">
        <v>1.132308230469525E-2</v>
      </c>
      <c r="F175" s="43">
        <v>2.1579105530100669E-2</v>
      </c>
      <c r="G175" s="43">
        <v>9.5273165529320192E-2</v>
      </c>
      <c r="H175" s="43">
        <v>-1.6010923273411911E-2</v>
      </c>
      <c r="I175" s="43">
        <v>-2.1733817226265221E-2</v>
      </c>
      <c r="J175" s="43">
        <v>4.9512850887827968E-2</v>
      </c>
      <c r="K175" s="43">
        <v>2.1720245075972811E-2</v>
      </c>
      <c r="L175" s="43">
        <v>-3.6229142968820738E-2</v>
      </c>
      <c r="M175" s="43">
        <v>-4.4461548669029398E-2</v>
      </c>
      <c r="N175" s="43">
        <v>2.7386491019989911E-2</v>
      </c>
      <c r="O175" s="43">
        <v>-1.7831599494764209E-2</v>
      </c>
      <c r="P175" s="43">
        <v>1.059816848438988E-2</v>
      </c>
      <c r="Q175" s="43">
        <v>3.5961215310811978E-2</v>
      </c>
      <c r="R175" s="43">
        <v>1.9293333037133879E-2</v>
      </c>
      <c r="S175" s="43">
        <v>-3.2124398597666907E-2</v>
      </c>
      <c r="T175" s="43">
        <v>-3.7362370890787977E-2</v>
      </c>
      <c r="U175" s="43">
        <v>5.7153978631586437E-2</v>
      </c>
      <c r="V175" s="43">
        <v>-9.1999603436112576E-3</v>
      </c>
      <c r="W175" s="43">
        <v>2.798069297245465E-2</v>
      </c>
      <c r="X175" s="43">
        <v>4.8970375004736111E-2</v>
      </c>
      <c r="Y175" s="43">
        <v>-3.477007522875275E-3</v>
      </c>
      <c r="Z175" s="43">
        <v>-1.826118689035483E-3</v>
      </c>
      <c r="AA175" s="43">
        <v>1.928950019813724E-2</v>
      </c>
      <c r="AB175" s="43">
        <v>7.0196658577141635E-2</v>
      </c>
      <c r="AC175" s="43">
        <v>-9.2528663355447849E-3</v>
      </c>
      <c r="AD175" s="43">
        <v>-2.4078779241847759E-2</v>
      </c>
      <c r="AE175" s="43">
        <v>-6.6435233312613917E-3</v>
      </c>
      <c r="AF175" s="43">
        <v>7.6650685181041567E-2</v>
      </c>
      <c r="AG175" s="43">
        <v>5.2240023497338813E-2</v>
      </c>
      <c r="AH175" s="43">
        <v>-0.1093642026641467</v>
      </c>
      <c r="AI175" s="43">
        <v>6.9500976863026809E-2</v>
      </c>
      <c r="AJ175" s="43">
        <v>0.12694310830266711</v>
      </c>
      <c r="AK175" s="43">
        <v>-8.4461391494583538E-4</v>
      </c>
      <c r="AL175" s="43">
        <v>6.7902080998203376E-3</v>
      </c>
      <c r="AM175" s="43">
        <v>2.309411971367803E-3</v>
      </c>
      <c r="AN175" s="43">
        <v>-4.8370745955228167E-2</v>
      </c>
      <c r="AO175" s="43">
        <v>-9.7989040870052224E-2</v>
      </c>
      <c r="AP175" s="43">
        <v>2.5236967521255371E-2</v>
      </c>
      <c r="AQ175" s="43">
        <v>-1.5499678682375119E-2</v>
      </c>
      <c r="AR175" s="43">
        <v>-2.3866768641823351E-2</v>
      </c>
      <c r="AS175" s="43">
        <v>7.2304640201629189E-2</v>
      </c>
      <c r="AT175" s="43">
        <v>-1.767611407881842E-2</v>
      </c>
      <c r="AU175" s="43">
        <v>6.7895133131689045E-2</v>
      </c>
      <c r="AV175" s="43">
        <v>-2.4613689905457199E-3</v>
      </c>
      <c r="AW175" s="43">
        <v>3.2400900612561179E-2</v>
      </c>
      <c r="AX175" s="43">
        <v>-2.817643719542073E-2</v>
      </c>
      <c r="AY175" s="43">
        <v>2.96532233271154E-2</v>
      </c>
      <c r="AZ175" s="43">
        <v>3.4669801283083279E-2</v>
      </c>
    </row>
    <row r="176" spans="1:52" ht="16" x14ac:dyDescent="0.2">
      <c r="A176" s="41">
        <v>45474</v>
      </c>
      <c r="B176" s="44">
        <v>5.4410866726683382E-2</v>
      </c>
      <c r="C176" s="44">
        <v>2.4945153052290388E-2</v>
      </c>
      <c r="D176" s="44">
        <v>-7.0021128400048482E-3</v>
      </c>
      <c r="E176" s="44">
        <v>4.5215743453643098E-2</v>
      </c>
      <c r="F176" s="44">
        <v>6.4074225966720189E-2</v>
      </c>
      <c r="G176" s="44">
        <v>-3.2445041513381352E-2</v>
      </c>
      <c r="H176" s="44">
        <v>4.3560266233422677E-2</v>
      </c>
      <c r="I176" s="44">
        <v>6.2513256278503126E-2</v>
      </c>
      <c r="J176" s="44">
        <v>-3.1552981269168279E-2</v>
      </c>
      <c r="K176" s="44">
        <v>2.852205135521646E-2</v>
      </c>
      <c r="L176" s="44">
        <v>2.589179176343603E-2</v>
      </c>
      <c r="M176" s="44">
        <v>-5.2047237911791E-2</v>
      </c>
      <c r="N176" s="44">
        <v>-3.0714448755394311E-2</v>
      </c>
      <c r="O176" s="44">
        <v>6.3089956653839652E-2</v>
      </c>
      <c r="P176" s="44">
        <v>1.4407298827190161E-2</v>
      </c>
      <c r="Q176" s="44">
        <v>4.3613773009887107E-2</v>
      </c>
      <c r="R176" s="44">
        <v>0.18237243477494339</v>
      </c>
      <c r="S176" s="44">
        <v>3.4694639636770219E-2</v>
      </c>
      <c r="T176" s="44">
        <v>7.2454703288338917E-2</v>
      </c>
      <c r="U176" s="44">
        <v>-5.8248681772103073E-2</v>
      </c>
      <c r="V176" s="44">
        <v>0.12537576036526629</v>
      </c>
      <c r="W176" s="44">
        <v>6.9486584389047534E-2</v>
      </c>
      <c r="X176" s="44">
        <v>7.3408130012335704E-2</v>
      </c>
      <c r="Y176" s="44">
        <v>7.9980714963203248E-2</v>
      </c>
      <c r="Z176" s="44">
        <v>5.794123675540952E-2</v>
      </c>
      <c r="AA176" s="44">
        <v>4.8546609044109568E-2</v>
      </c>
      <c r="AB176" s="44">
        <v>2.5309418749194231E-2</v>
      </c>
      <c r="AC176" s="44">
        <v>4.1437854123430151E-2</v>
      </c>
      <c r="AD176" s="44">
        <v>2.0454859188462789E-2</v>
      </c>
      <c r="AE176" s="44">
        <v>7.1492763182646302E-2</v>
      </c>
      <c r="AF176" s="44">
        <v>-6.3989342937955884E-2</v>
      </c>
      <c r="AG176" s="44">
        <v>-0.1643271071137761</v>
      </c>
      <c r="AH176" s="44">
        <v>7.8802256952093197E-2</v>
      </c>
      <c r="AI176" s="44">
        <v>-1.017903535789666E-2</v>
      </c>
      <c r="AJ176" s="44">
        <v>-5.2776535629643677E-2</v>
      </c>
      <c r="AK176" s="44">
        <v>0.26880814249232587</v>
      </c>
      <c r="AL176" s="44">
        <v>2.182693878592001E-2</v>
      </c>
      <c r="AM176" s="44">
        <v>-1.9361672321614679E-2</v>
      </c>
      <c r="AN176" s="44">
        <v>0.1094283794794093</v>
      </c>
      <c r="AO176" s="44">
        <v>2.9995937123212579E-2</v>
      </c>
      <c r="AP176" s="44">
        <v>0.1223400934678489</v>
      </c>
      <c r="AQ176" s="44">
        <v>0.2475569638509654</v>
      </c>
      <c r="AR176" s="44">
        <v>-9.1525208754775988E-2</v>
      </c>
      <c r="AS176" s="44">
        <v>2.6792747610160369E-2</v>
      </c>
      <c r="AT176" s="44">
        <v>0.1754850428518322</v>
      </c>
      <c r="AU176" s="44">
        <v>2.652152482322068E-2</v>
      </c>
      <c r="AV176" s="44">
        <v>5.4525426794512548E-2</v>
      </c>
      <c r="AW176" s="44">
        <v>0.13136717188330579</v>
      </c>
      <c r="AX176" s="44">
        <v>9.0471242853325862E-2</v>
      </c>
      <c r="AY176" s="44">
        <v>1.3735195943403781E-2</v>
      </c>
      <c r="AZ176" s="44">
        <v>1.132131688786875E-2</v>
      </c>
    </row>
    <row r="177" spans="1:52" ht="16" x14ac:dyDescent="0.2">
      <c r="A177" s="39">
        <v>45505</v>
      </c>
      <c r="B177" s="43">
        <v>3.2353414684206383E-2</v>
      </c>
      <c r="C177" s="43">
        <v>6.9190108373650361E-2</v>
      </c>
      <c r="D177" s="43">
        <v>4.1257949285225408E-2</v>
      </c>
      <c r="E177" s="43">
        <v>9.5995334854099168E-2</v>
      </c>
      <c r="F177" s="43">
        <v>1.108190775113105E-2</v>
      </c>
      <c r="G177" s="43">
        <v>-4.5352422298136297E-2</v>
      </c>
      <c r="H177" s="43">
        <v>2.8596182320799409E-2</v>
      </c>
      <c r="I177" s="43">
        <v>-4.1192200170908522E-2</v>
      </c>
      <c r="J177" s="43">
        <v>8.5620439353464972E-2</v>
      </c>
      <c r="K177" s="43">
        <v>4.3137143514863308E-2</v>
      </c>
      <c r="L177" s="43">
        <v>-6.7702130184735254E-2</v>
      </c>
      <c r="M177" s="43">
        <v>-3.5329258983957001E-2</v>
      </c>
      <c r="N177" s="43">
        <v>9.7490304414022511E-2</v>
      </c>
      <c r="O177" s="43">
        <v>-9.5523604459767153E-2</v>
      </c>
      <c r="P177" s="43">
        <v>1.5930756015457129E-2</v>
      </c>
      <c r="Q177" s="43">
        <v>0.11002131512863331</v>
      </c>
      <c r="R177" s="43">
        <v>-2.406234014106778E-3</v>
      </c>
      <c r="S177" s="43">
        <v>2.176018912894984E-3</v>
      </c>
      <c r="T177" s="43">
        <v>2.596931489447107E-2</v>
      </c>
      <c r="U177" s="43">
        <v>-4.7568907954518742E-2</v>
      </c>
      <c r="V177" s="43">
        <v>8.3269079401795398E-3</v>
      </c>
      <c r="W177" s="43">
        <v>7.0031268301551366E-3</v>
      </c>
      <c r="X177" s="43">
        <v>9.0672194567735787E-3</v>
      </c>
      <c r="Y177" s="43">
        <v>5.8719765319576567E-2</v>
      </c>
      <c r="Z177" s="43">
        <v>5.6390781941954897E-2</v>
      </c>
      <c r="AA177" s="43">
        <v>8.5855647561439374E-2</v>
      </c>
      <c r="AB177" s="43">
        <v>-1.2458072776927341E-2</v>
      </c>
      <c r="AC177" s="43">
        <v>8.7641229670469389E-2</v>
      </c>
      <c r="AD177" s="43">
        <v>0.10283864516601041</v>
      </c>
      <c r="AE177" s="43">
        <v>3.8755761007283058E-3</v>
      </c>
      <c r="AF177" s="43">
        <v>-1.095090968194157E-3</v>
      </c>
      <c r="AG177" s="43">
        <v>-0.12365686977366699</v>
      </c>
      <c r="AH177" s="43">
        <v>6.0759918834509603E-2</v>
      </c>
      <c r="AI177" s="43">
        <v>-4.9299157487147971E-2</v>
      </c>
      <c r="AJ177" s="43">
        <v>2.008208031891745E-2</v>
      </c>
      <c r="AK177" s="43">
        <v>-0.1009327328594993</v>
      </c>
      <c r="AL177" s="43">
        <v>0.1216905946797464</v>
      </c>
      <c r="AM177" s="43">
        <v>6.7056574113236289E-2</v>
      </c>
      <c r="AN177" s="43">
        <v>7.2532994079270274E-2</v>
      </c>
      <c r="AO177" s="43">
        <v>1.7709593295620829E-2</v>
      </c>
      <c r="AP177" s="43">
        <v>1.404198897886322E-2</v>
      </c>
      <c r="AQ177" s="43">
        <v>4.3951218080759302E-2</v>
      </c>
      <c r="AR177" s="43">
        <v>-3.1224157149832728E-2</v>
      </c>
      <c r="AS177" s="43">
        <v>9.7758446289065493E-2</v>
      </c>
      <c r="AT177" s="43">
        <v>5.5052455946703598E-2</v>
      </c>
      <c r="AU177" s="43">
        <v>4.1183333042888133E-2</v>
      </c>
      <c r="AV177" s="43">
        <v>5.1665699735348618E-2</v>
      </c>
      <c r="AW177" s="43">
        <v>2.436805450656299E-2</v>
      </c>
      <c r="AX177" s="43">
        <v>4.3458590546497033E-2</v>
      </c>
      <c r="AY177" s="43">
        <v>0.12835281201098289</v>
      </c>
      <c r="AZ177" s="43">
        <v>2.283470693663037E-2</v>
      </c>
    </row>
    <row r="178" spans="1:52" ht="16" x14ac:dyDescent="0.2">
      <c r="A178" s="41">
        <v>45536</v>
      </c>
      <c r="B178" s="44">
        <v>1.7467296439848349E-2</v>
      </c>
      <c r="C178" s="44">
        <v>6.5331001275645839E-3</v>
      </c>
      <c r="D178" s="44">
        <v>-9.8588023354892584E-2</v>
      </c>
      <c r="E178" s="44">
        <v>1.503967618006197E-4</v>
      </c>
      <c r="F178" s="44">
        <v>-3.4808066716715318E-2</v>
      </c>
      <c r="G178" s="44">
        <v>4.3865556476496932E-2</v>
      </c>
      <c r="H178" s="44">
        <v>9.8343123799066623E-2</v>
      </c>
      <c r="I178" s="44">
        <v>5.5597569466139467E-2</v>
      </c>
      <c r="J178" s="44">
        <v>-6.5667113524254814E-3</v>
      </c>
      <c r="K178" s="44">
        <v>5.3027292763417222E-2</v>
      </c>
      <c r="L178" s="44">
        <v>-4.5961753187346854E-3</v>
      </c>
      <c r="M178" s="44">
        <v>6.4284164940513477E-2</v>
      </c>
      <c r="N178" s="44">
        <v>1.076747081072482E-2</v>
      </c>
      <c r="O178" s="44">
        <v>3.7764397773845097E-2</v>
      </c>
      <c r="P178" s="44">
        <v>-4.5722700803355047E-2</v>
      </c>
      <c r="Q178" s="44">
        <v>-3.0733738607658929E-3</v>
      </c>
      <c r="R178" s="44">
        <v>8.3928149465983592E-2</v>
      </c>
      <c r="S178" s="44">
        <v>9.4869666215955384E-3</v>
      </c>
      <c r="T178" s="44">
        <v>8.1544550713192665E-2</v>
      </c>
      <c r="U178" s="44">
        <v>1.646500797333417E-2</v>
      </c>
      <c r="V178" s="44">
        <v>-2.967179008744036E-2</v>
      </c>
      <c r="W178" s="44">
        <v>9.9592782902984567E-2</v>
      </c>
      <c r="X178" s="44">
        <v>6.7011085511958779E-3</v>
      </c>
      <c r="Y178" s="44">
        <v>-2.291099349532999E-2</v>
      </c>
      <c r="Z178" s="44">
        <v>-6.2010620825523333E-2</v>
      </c>
      <c r="AA178" s="44">
        <v>-1.6193266462523059E-3</v>
      </c>
      <c r="AB178" s="44">
        <v>4.7560454741428781E-3</v>
      </c>
      <c r="AC178" s="44">
        <v>6.1047507749043772E-2</v>
      </c>
      <c r="AD178" s="44">
        <v>2.4385847046310302E-2</v>
      </c>
      <c r="AE178" s="44">
        <v>6.0804282691249156E-3</v>
      </c>
      <c r="AF178" s="44">
        <v>3.1548181053077551E-2</v>
      </c>
      <c r="AG178" s="44">
        <v>7.7618325253367759E-2</v>
      </c>
      <c r="AH178" s="44">
        <v>4.9931751465767782E-2</v>
      </c>
      <c r="AI178" s="44">
        <v>2.3111403903654629E-2</v>
      </c>
      <c r="AJ178" s="44">
        <v>1.742813318985359E-2</v>
      </c>
      <c r="AK178" s="44">
        <v>-7.8547571317631681E-2</v>
      </c>
      <c r="AL178" s="44">
        <v>-1.331761248186236E-2</v>
      </c>
      <c r="AM178" s="44">
        <v>9.6770710796625359E-3</v>
      </c>
      <c r="AN178" s="44">
        <v>5.2682404689075479E-2</v>
      </c>
      <c r="AO178" s="44">
        <v>-4.2536750019619318E-2</v>
      </c>
      <c r="AP178" s="44">
        <v>-4.6970635730670951E-3</v>
      </c>
      <c r="AQ178" s="44">
        <v>2.480208187605348E-2</v>
      </c>
      <c r="AR178" s="44">
        <v>-2.493540049319742E-2</v>
      </c>
      <c r="AS178" s="44">
        <v>-0.1126454650194872</v>
      </c>
      <c r="AT178" s="44">
        <v>3.3299895616121011E-2</v>
      </c>
      <c r="AU178" s="44">
        <v>2.302226568168031E-3</v>
      </c>
      <c r="AV178" s="44">
        <v>-3.6250781351148231E-2</v>
      </c>
      <c r="AW178" s="44">
        <v>-5.8398251233219289E-3</v>
      </c>
      <c r="AX178" s="44">
        <v>-3.7526058248769867E-2</v>
      </c>
      <c r="AY178" s="44">
        <v>4.5578002670289892E-2</v>
      </c>
      <c r="AZ178" s="44">
        <v>2.0196884090601271E-2</v>
      </c>
    </row>
    <row r="179" spans="1:52" ht="16" x14ac:dyDescent="0.2">
      <c r="A179" s="39">
        <v>45566</v>
      </c>
      <c r="B179" s="43">
        <v>-3.0429211451309061E-2</v>
      </c>
      <c r="C179" s="43">
        <v>-9.27042876971651E-4</v>
      </c>
      <c r="D179" s="43">
        <v>-7.6673568848378504E-2</v>
      </c>
      <c r="E179" s="43">
        <v>-6.4722248285035033E-2</v>
      </c>
      <c r="F179" s="43">
        <v>-6.3622588463373431E-3</v>
      </c>
      <c r="G179" s="43">
        <v>3.7563497419568209E-4</v>
      </c>
      <c r="H179" s="43">
        <v>-3.4691117606836193E-2</v>
      </c>
      <c r="I179" s="43">
        <v>5.3317740804006641E-2</v>
      </c>
      <c r="J179" s="43">
        <v>-1.3919628241935929E-2</v>
      </c>
      <c r="K179" s="43">
        <v>3.6989341264306308E-2</v>
      </c>
      <c r="L179" s="43">
        <v>1.0525054912865039E-2</v>
      </c>
      <c r="M179" s="43">
        <v>1.0389194653170899E-4</v>
      </c>
      <c r="N179" s="43">
        <v>-3.7598489652880707E-2</v>
      </c>
      <c r="O179" s="43">
        <v>-1.005766307041245E-2</v>
      </c>
      <c r="P179" s="43">
        <v>-7.5105220883320278E-4</v>
      </c>
      <c r="Q179" s="43">
        <v>0.27938342145847272</v>
      </c>
      <c r="R179" s="43">
        <v>6.2125377493923439E-2</v>
      </c>
      <c r="S179" s="43">
        <v>-3.0392267544537051E-2</v>
      </c>
      <c r="T179" s="43">
        <v>-8.9086773045292333E-2</v>
      </c>
      <c r="U179" s="43">
        <v>3.1715352958436638E-2</v>
      </c>
      <c r="V179" s="43">
        <v>4.5807957614934607E-2</v>
      </c>
      <c r="W179" s="43">
        <v>-2.8257605314802921E-2</v>
      </c>
      <c r="X179" s="43">
        <v>0.1213313836247796</v>
      </c>
      <c r="Y179" s="43">
        <v>-1.357508382491268E-2</v>
      </c>
      <c r="Z179" s="43">
        <v>5.8901356272548437E-2</v>
      </c>
      <c r="AA179" s="43">
        <v>-9.1149513095990731E-2</v>
      </c>
      <c r="AB179" s="43">
        <v>-3.963405881990878E-2</v>
      </c>
      <c r="AC179" s="43">
        <v>-4.0721094496641852E-2</v>
      </c>
      <c r="AD179" s="43">
        <v>-8.6637257787998134E-3</v>
      </c>
      <c r="AE179" s="43">
        <v>0.1240322291577136</v>
      </c>
      <c r="AF179" s="43">
        <v>-5.5658839738009218E-2</v>
      </c>
      <c r="AG179" s="43">
        <v>-3.8065608820626477E-2</v>
      </c>
      <c r="AH179" s="43">
        <v>-6.2462936563481009E-2</v>
      </c>
      <c r="AI179" s="43">
        <v>-6.2418265931935557E-2</v>
      </c>
      <c r="AJ179" s="43">
        <v>9.321473354310883E-2</v>
      </c>
      <c r="AK179" s="43">
        <v>-1.88983194548864E-2</v>
      </c>
      <c r="AL179" s="43">
        <v>6.30967669783431E-2</v>
      </c>
      <c r="AM179" s="43">
        <v>-4.0697573867145453E-2</v>
      </c>
      <c r="AN179" s="43">
        <v>3.561227285493906E-3</v>
      </c>
      <c r="AO179" s="43">
        <v>-7.9159974705291125E-2</v>
      </c>
      <c r="AP179" s="43">
        <v>-0.10563816048842831</v>
      </c>
      <c r="AQ179" s="43">
        <v>-9.5485051307865221E-2</v>
      </c>
      <c r="AR179" s="43">
        <v>-4.281111354527134E-2</v>
      </c>
      <c r="AS179" s="43">
        <v>-0.20265591763740171</v>
      </c>
      <c r="AT179" s="43">
        <v>-5.9999454650306761E-2</v>
      </c>
      <c r="AU179" s="43">
        <v>-3.8369883540394827E-2</v>
      </c>
      <c r="AV179" s="43">
        <v>-1.0032699730360471E-2</v>
      </c>
      <c r="AW179" s="43">
        <v>-3.4514561643476327E-2</v>
      </c>
      <c r="AX179" s="43">
        <v>-5.8463010971744223E-2</v>
      </c>
      <c r="AY179" s="43">
        <v>1.486067664677293E-2</v>
      </c>
      <c r="AZ179" s="43">
        <v>-9.8967433031517116E-3</v>
      </c>
    </row>
    <row r="180" spans="1:52" ht="16" x14ac:dyDescent="0.2">
      <c r="A180" s="41">
        <v>45597</v>
      </c>
      <c r="B180" s="44">
        <v>5.170702151471529E-2</v>
      </c>
      <c r="C180" s="44">
        <v>4.7631566669190439E-2</v>
      </c>
      <c r="D180" s="44">
        <v>7.9170865057314632E-2</v>
      </c>
      <c r="E180" s="44">
        <v>-1.269893790634258E-2</v>
      </c>
      <c r="F180" s="44">
        <v>-0.10940755325984761</v>
      </c>
      <c r="G180" s="44">
        <v>0.11528973281564769</v>
      </c>
      <c r="H180" s="44">
        <v>7.9505481859664995E-2</v>
      </c>
      <c r="I180" s="44">
        <v>-1.099145571712945E-2</v>
      </c>
      <c r="J180" s="44">
        <v>0.1132391171658378</v>
      </c>
      <c r="K180" s="44">
        <v>8.1066272143025975E-2</v>
      </c>
      <c r="L180" s="44">
        <v>9.9192308549274744E-2</v>
      </c>
      <c r="M180" s="44">
        <v>0.22110194693572091</v>
      </c>
      <c r="N180" s="44">
        <v>1.23713612917864E-2</v>
      </c>
      <c r="O180" s="44">
        <v>0.2297492965503751</v>
      </c>
      <c r="P180" s="44">
        <v>9.2653425892323504E-2</v>
      </c>
      <c r="Q180" s="44">
        <v>9.8192718271629564E-2</v>
      </c>
      <c r="R180" s="44">
        <v>7.0420732327911351E-2</v>
      </c>
      <c r="S180" s="44">
        <v>-2.606219897964324E-2</v>
      </c>
      <c r="T180" s="44">
        <v>6.0426283664539282E-2</v>
      </c>
      <c r="U180" s="44">
        <v>-1.2623400769491311E-2</v>
      </c>
      <c r="V180" s="44">
        <v>0.1753221483136311</v>
      </c>
      <c r="W180" s="44">
        <v>9.5593101854752893E-2</v>
      </c>
      <c r="X180" s="44">
        <v>6.3409818388096006E-3</v>
      </c>
      <c r="Y180" s="44">
        <v>-2.2558598541864039E-2</v>
      </c>
      <c r="Z180" s="44">
        <v>0.12527038674775939</v>
      </c>
      <c r="AA180" s="44">
        <v>-1.139146053060802E-2</v>
      </c>
      <c r="AB180" s="44">
        <v>0.1124084530887306</v>
      </c>
      <c r="AC180" s="44">
        <v>1.3351016547198171E-2</v>
      </c>
      <c r="AD180" s="44">
        <v>-3.0364204334579311E-2</v>
      </c>
      <c r="AE180" s="44">
        <v>0.1321290343464003</v>
      </c>
      <c r="AF180" s="44">
        <v>4.4192390309368827E-2</v>
      </c>
      <c r="AG180" s="44">
        <v>-1.7059775937296909E-2</v>
      </c>
      <c r="AH180" s="44">
        <v>-6.6581506333052154E-4</v>
      </c>
      <c r="AI180" s="44">
        <v>6.3567750186361849E-2</v>
      </c>
      <c r="AJ180" s="44">
        <v>4.1352892706400191E-2</v>
      </c>
      <c r="AK180" s="44">
        <v>0.22868852503868051</v>
      </c>
      <c r="AL180" s="44">
        <v>0.1846906965039565</v>
      </c>
      <c r="AM180" s="44">
        <v>8.5240242327244031E-2</v>
      </c>
      <c r="AN180" s="44">
        <v>0.1111784014386494</v>
      </c>
      <c r="AO180" s="44">
        <v>9.254388951565562E-2</v>
      </c>
      <c r="AP180" s="44">
        <v>3.4000190309464877E-2</v>
      </c>
      <c r="AQ180" s="44">
        <v>-9.0949950988896688E-2</v>
      </c>
      <c r="AR180" s="44">
        <v>-2.6049120645376012E-2</v>
      </c>
      <c r="AS180" s="44">
        <v>-0.10496303295519149</v>
      </c>
      <c r="AT180" s="44">
        <v>0.1097160165423221</v>
      </c>
      <c r="AU180" s="44">
        <v>0.11545906834745789</v>
      </c>
      <c r="AV180" s="44">
        <v>-1.048439074292784E-2</v>
      </c>
      <c r="AW180" s="44">
        <v>8.0956394136170173E-2</v>
      </c>
      <c r="AX180" s="44">
        <v>5.4250783128078961E-2</v>
      </c>
      <c r="AY180" s="44">
        <v>0.12873686629356931</v>
      </c>
      <c r="AZ180" s="44">
        <v>5.7301295482098842E-2</v>
      </c>
    </row>
    <row r="181" spans="1:52" ht="16" x14ac:dyDescent="0.2">
      <c r="A181" s="39">
        <v>45627</v>
      </c>
      <c r="B181" s="43">
        <v>5.5155294788104881E-2</v>
      </c>
      <c r="C181" s="43">
        <v>-4.7655138480903643E-2</v>
      </c>
      <c r="D181" s="43">
        <v>-0.13810013182306821</v>
      </c>
      <c r="E181" s="43">
        <v>2.0433101685596981E-2</v>
      </c>
      <c r="F181" s="43">
        <v>-7.8587324623960564E-2</v>
      </c>
      <c r="G181" s="43">
        <v>5.5317716262269778E-2</v>
      </c>
      <c r="H181" s="43">
        <v>-0.1067443070391078</v>
      </c>
      <c r="I181" s="43">
        <v>-0.1310489625291312</v>
      </c>
      <c r="J181" s="43">
        <v>-5.7218947896638513E-2</v>
      </c>
      <c r="K181" s="43">
        <v>-1.6883586331217779E-4</v>
      </c>
      <c r="L181" s="43">
        <v>-0.1055395137317223</v>
      </c>
      <c r="M181" s="43">
        <v>-4.7898261753628428E-2</v>
      </c>
      <c r="N181" s="43">
        <v>-5.5614638680817403E-2</v>
      </c>
      <c r="O181" s="43">
        <v>-6.5384516145526095E-2</v>
      </c>
      <c r="P181" s="43">
        <v>-8.0144060028047082E-2</v>
      </c>
      <c r="Q181" s="43">
        <v>-8.6670321633602776E-2</v>
      </c>
      <c r="R181" s="43">
        <v>4.4737171555107036E-3</v>
      </c>
      <c r="S181" s="43">
        <v>-7.2251000480088257E-2</v>
      </c>
      <c r="T181" s="43">
        <v>-8.2884857999991346E-2</v>
      </c>
      <c r="U181" s="43">
        <v>0.1217340673089045</v>
      </c>
      <c r="V181" s="43">
        <v>-5.4411648690987358E-2</v>
      </c>
      <c r="W181" s="43">
        <v>-9.3538052523988835E-2</v>
      </c>
      <c r="X181" s="43">
        <v>-7.4004516879997873E-2</v>
      </c>
      <c r="Y181" s="43">
        <v>-6.7028128727719238E-2</v>
      </c>
      <c r="Z181" s="43">
        <v>-4.0084923422040057E-2</v>
      </c>
      <c r="AA181" s="43">
        <v>-2.8402055597011588E-2</v>
      </c>
      <c r="AB181" s="43">
        <v>-0.108910048203968</v>
      </c>
      <c r="AC181" s="43">
        <v>-1.4783858546607799E-2</v>
      </c>
      <c r="AD181" s="43">
        <v>-6.8971926757405044E-2</v>
      </c>
      <c r="AE181" s="43">
        <v>-4.47534851123077E-2</v>
      </c>
      <c r="AF181" s="43">
        <v>-4.6283869431137381E-3</v>
      </c>
      <c r="AG181" s="43">
        <v>-0.13966975788617991</v>
      </c>
      <c r="AH181" s="43">
        <v>-8.872521724682092E-2</v>
      </c>
      <c r="AI181" s="43">
        <v>-5.3489950933647057E-2</v>
      </c>
      <c r="AJ181" s="43">
        <v>-2.8577025227559231E-2</v>
      </c>
      <c r="AK181" s="43">
        <v>-0.13008671374513819</v>
      </c>
      <c r="AL181" s="43">
        <v>-0.1161971668191519</v>
      </c>
      <c r="AM181" s="43">
        <v>-6.4766212787742639E-2</v>
      </c>
      <c r="AN181" s="43">
        <v>-9.5134513213129268E-2</v>
      </c>
      <c r="AO181" s="43">
        <v>-5.4195118014421777E-2</v>
      </c>
      <c r="AP181" s="43">
        <v>-8.6992203443623461E-2</v>
      </c>
      <c r="AQ181" s="43">
        <v>-8.6322275041429308E-2</v>
      </c>
      <c r="AR181" s="43">
        <v>-2.5903001786015459E-2</v>
      </c>
      <c r="AS181" s="43">
        <v>-5.0505161662900977E-2</v>
      </c>
      <c r="AT181" s="43">
        <v>-0.14461498630343489</v>
      </c>
      <c r="AU181" s="43">
        <v>-3.8825700368777423E-2</v>
      </c>
      <c r="AV181" s="43">
        <v>-6.725370530154795E-2</v>
      </c>
      <c r="AW181" s="43">
        <v>-0.16781341141312109</v>
      </c>
      <c r="AX181" s="43">
        <v>-6.2552870030559427E-2</v>
      </c>
      <c r="AY181" s="43">
        <v>-2.1079156816930289E-2</v>
      </c>
      <c r="AZ181" s="43">
        <v>-2.4990137048483629E-2</v>
      </c>
    </row>
    <row r="182" spans="1:52" ht="16" x14ac:dyDescent="0.2">
      <c r="A182" s="41">
        <v>45658</v>
      </c>
      <c r="B182" s="44">
        <v>-5.7583350589930138E-2</v>
      </c>
      <c r="C182" s="44">
        <v>0.13695815684699769</v>
      </c>
      <c r="D182" s="44">
        <v>-1.6258839137881839E-2</v>
      </c>
      <c r="E182" s="44">
        <v>-1.5157145139570449E-3</v>
      </c>
      <c r="F182" s="44">
        <v>9.5073819395194104E-2</v>
      </c>
      <c r="G182" s="44">
        <v>8.3367488659539024E-2</v>
      </c>
      <c r="H182" s="44">
        <v>2.7681425144514549E-2</v>
      </c>
      <c r="I182" s="44">
        <v>-9.557649273228408E-2</v>
      </c>
      <c r="J182" s="44">
        <v>6.9422668525436437E-2</v>
      </c>
      <c r="K182" s="44">
        <v>3.0624137613063821E-2</v>
      </c>
      <c r="L182" s="44">
        <v>3.0033233026528269E-2</v>
      </c>
      <c r="M182" s="44">
        <v>1.535699698794946E-2</v>
      </c>
      <c r="N182" s="44">
        <v>6.7728053272969824E-2</v>
      </c>
      <c r="O182" s="44">
        <v>4.8575779336518021E-2</v>
      </c>
      <c r="P182" s="44">
        <v>3.3486088403468672E-2</v>
      </c>
      <c r="Q182" s="44">
        <v>-4.5044358744219526E-3</v>
      </c>
      <c r="R182" s="44">
        <v>0.1820893479247816</v>
      </c>
      <c r="S182" s="44">
        <v>-1.9527758759465001E-2</v>
      </c>
      <c r="T182" s="44">
        <v>0.2205169559129749</v>
      </c>
      <c r="U182" s="44">
        <v>7.7760091639277995E-2</v>
      </c>
      <c r="V182" s="44">
        <v>0.1183682788899527</v>
      </c>
      <c r="W182" s="44">
        <v>5.9101682231350823E-2</v>
      </c>
      <c r="X182" s="44">
        <v>7.3693412332048736E-2</v>
      </c>
      <c r="Y182" s="44">
        <v>5.2067600263138843E-2</v>
      </c>
      <c r="Z182" s="44">
        <v>0.1208563438935184</v>
      </c>
      <c r="AA182" s="44">
        <v>1.9595320712764819E-2</v>
      </c>
      <c r="AB182" s="44">
        <v>0.1342235697231311</v>
      </c>
      <c r="AC182" s="44">
        <v>-4.1049456620834146E-3</v>
      </c>
      <c r="AD182" s="44">
        <v>0.13695550381331739</v>
      </c>
      <c r="AE182" s="44">
        <v>0.1084242015900823</v>
      </c>
      <c r="AF182" s="44">
        <v>-1.5278837069997549E-2</v>
      </c>
      <c r="AG182" s="44">
        <v>8.4125398512414407E-2</v>
      </c>
      <c r="AH182" s="44">
        <v>-1.813130591042045E-3</v>
      </c>
      <c r="AI182" s="44">
        <v>5.6600592130024108E-2</v>
      </c>
      <c r="AJ182" s="44">
        <v>-0.10589017336041361</v>
      </c>
      <c r="AK182" s="44">
        <v>-4.7162559272797E-2</v>
      </c>
      <c r="AL182" s="44">
        <v>-3.2171295487472662E-2</v>
      </c>
      <c r="AM182" s="44">
        <v>-3.8642066056989721E-3</v>
      </c>
      <c r="AN182" s="44">
        <v>0.1116614450319562</v>
      </c>
      <c r="AO182" s="44">
        <v>-2.4193535982383722E-2</v>
      </c>
      <c r="AP182" s="44">
        <v>0.1281929940633921</v>
      </c>
      <c r="AQ182" s="44">
        <v>8.1483802780994541E-2</v>
      </c>
      <c r="AR182" s="44">
        <v>0.12569968471320589</v>
      </c>
      <c r="AS182" s="44">
        <v>-5.5241222967882808E-2</v>
      </c>
      <c r="AT182" s="44">
        <v>5.362857088905959E-2</v>
      </c>
      <c r="AU182" s="44">
        <v>3.2944271411166293E-2</v>
      </c>
      <c r="AV182" s="44">
        <v>-8.1851614922708871E-3</v>
      </c>
      <c r="AW182" s="44">
        <v>7.2411476128258601E-2</v>
      </c>
      <c r="AX182" s="44">
        <v>8.6607739901584768E-2</v>
      </c>
      <c r="AY182" s="44">
        <v>8.6441766093875438E-2</v>
      </c>
      <c r="AZ182" s="44">
        <v>2.70163042404441E-2</v>
      </c>
    </row>
    <row r="183" spans="1:52" ht="16" x14ac:dyDescent="0.2">
      <c r="A183" s="39">
        <v>45689</v>
      </c>
      <c r="B183" s="43">
        <v>2.5872441821147781E-2</v>
      </c>
      <c r="C183" s="43">
        <v>7.8792883779548184E-2</v>
      </c>
      <c r="D183" s="43">
        <v>2.5373992926926991E-3</v>
      </c>
      <c r="E183" s="43">
        <v>-0.2348194803380341</v>
      </c>
      <c r="F183" s="43">
        <v>8.8041305128125913E-2</v>
      </c>
      <c r="G183" s="43">
        <v>-0.10686635257151179</v>
      </c>
      <c r="H183" s="43">
        <v>-7.4009314996066888E-2</v>
      </c>
      <c r="I183" s="43">
        <v>6.5953523013949189E-2</v>
      </c>
      <c r="J183" s="43">
        <v>7.1323612879449438E-2</v>
      </c>
      <c r="K183" s="43">
        <v>5.7920787859310208E-2</v>
      </c>
      <c r="L183" s="43">
        <v>7.5000649042914702E-2</v>
      </c>
      <c r="M183" s="43">
        <v>6.545275695435615E-3</v>
      </c>
      <c r="N183" s="43">
        <v>7.5222873203041551E-2</v>
      </c>
      <c r="O183" s="43">
        <v>-6.0218327078543243E-2</v>
      </c>
      <c r="P183" s="43">
        <v>9.1422289904121712E-3</v>
      </c>
      <c r="Q183" s="43">
        <v>0.16711906020593159</v>
      </c>
      <c r="R183" s="43">
        <v>-1.624845902969585E-2</v>
      </c>
      <c r="S183" s="43">
        <v>-1.7044112005996759E-2</v>
      </c>
      <c r="T183" s="43">
        <v>1.675091469740431E-2</v>
      </c>
      <c r="U183" s="43">
        <v>-0.1653760774010512</v>
      </c>
      <c r="V183" s="43">
        <v>-2.3460840856350581E-2</v>
      </c>
      <c r="W183" s="43">
        <v>-3.733181067616731E-2</v>
      </c>
      <c r="X183" s="43">
        <v>-8.8997253171197999E-3</v>
      </c>
      <c r="Y183" s="43">
        <v>9.3269427883936773E-2</v>
      </c>
      <c r="Z183" s="43">
        <v>-9.9138926365317515E-3</v>
      </c>
      <c r="AA183" s="43">
        <v>0.1217705768977464</v>
      </c>
      <c r="AB183" s="43">
        <v>-1.2701453780714521E-2</v>
      </c>
      <c r="AC183" s="43">
        <v>6.7994350357260647E-2</v>
      </c>
      <c r="AD183" s="43">
        <v>1.321296596662958E-2</v>
      </c>
      <c r="AE183" s="43">
        <v>-3.8430763833657289E-2</v>
      </c>
      <c r="AF183" s="43">
        <v>-4.1618136225327729E-2</v>
      </c>
      <c r="AG183" s="43">
        <v>2.619468004397851E-2</v>
      </c>
      <c r="AH183" s="43">
        <v>-1.1344870492304929E-2</v>
      </c>
      <c r="AI183" s="43">
        <v>-0.18255531481424089</v>
      </c>
      <c r="AJ183" s="43">
        <v>4.039309306242167E-2</v>
      </c>
      <c r="AK183" s="43">
        <v>-0.11106640589591001</v>
      </c>
      <c r="AL183" s="43">
        <v>4.4206271050942332E-2</v>
      </c>
      <c r="AM183" s="43">
        <v>4.7292011479883378E-2</v>
      </c>
      <c r="AN183" s="43">
        <v>-5.2274550865407443E-2</v>
      </c>
      <c r="AO183" s="43">
        <v>-9.3518905608310221E-2</v>
      </c>
      <c r="AP183" s="43">
        <v>3.9161459972811397E-2</v>
      </c>
      <c r="AQ183" s="43">
        <v>-0.19424289585062721</v>
      </c>
      <c r="AR183" s="43">
        <v>-9.1134948631403034E-2</v>
      </c>
      <c r="AS183" s="43">
        <v>3.9611638788405353E-2</v>
      </c>
      <c r="AT183" s="43">
        <v>1.147531601880236E-2</v>
      </c>
      <c r="AU183" s="43">
        <v>2.7823108797926381E-3</v>
      </c>
      <c r="AV183" s="43">
        <v>6.1643299919944987E-2</v>
      </c>
      <c r="AW183" s="43">
        <v>-0.12448171346897111</v>
      </c>
      <c r="AX183" s="43">
        <v>1.034229879239845E-3</v>
      </c>
      <c r="AY183" s="43">
        <v>4.5842352436340486E-3</v>
      </c>
      <c r="AZ183" s="43">
        <v>-1.424209269982513E-2</v>
      </c>
    </row>
    <row r="184" spans="1:52" ht="16" x14ac:dyDescent="0.2">
      <c r="A184" s="41">
        <v>45717</v>
      </c>
      <c r="B184" s="44">
        <v>-8.1500160896760931E-2</v>
      </c>
      <c r="C184" s="44">
        <v>-3.8837671168920007E-2</v>
      </c>
      <c r="D184" s="44">
        <v>-0.12547883775456431</v>
      </c>
      <c r="E184" s="44">
        <v>3.2578081402782511E-2</v>
      </c>
      <c r="F184" s="44">
        <v>1.1329041816249941E-2</v>
      </c>
      <c r="G184" s="44">
        <v>-0.10373094214756751</v>
      </c>
      <c r="H184" s="44">
        <v>-4.1139926508953151E-2</v>
      </c>
      <c r="I184" s="44">
        <v>2.842805860696718E-2</v>
      </c>
      <c r="J184" s="44">
        <v>-9.806303984633935E-2</v>
      </c>
      <c r="K184" s="44">
        <v>-3.7435745307077051E-2</v>
      </c>
      <c r="L184" s="44">
        <v>5.4659153157355263E-2</v>
      </c>
      <c r="M184" s="44">
        <v>-0.1326889906648315</v>
      </c>
      <c r="N184" s="44">
        <v>-5.5143360407310382E-2</v>
      </c>
      <c r="O184" s="44">
        <v>-9.8429494375272042E-2</v>
      </c>
      <c r="P184" s="44">
        <v>1.0241166505048581E-2</v>
      </c>
      <c r="Q184" s="44">
        <v>-4.5748268818541223E-2</v>
      </c>
      <c r="R184" s="44">
        <v>-8.9457320785536254E-2</v>
      </c>
      <c r="S184" s="44">
        <v>7.9097234458538779E-2</v>
      </c>
      <c r="T184" s="44">
        <v>-3.1199215308210348E-2</v>
      </c>
      <c r="U184" s="44">
        <v>-9.0802689512645696E-2</v>
      </c>
      <c r="V184" s="44">
        <v>-0.1221294766179828</v>
      </c>
      <c r="W184" s="44">
        <v>-7.0056121414612926E-2</v>
      </c>
      <c r="X184" s="44">
        <v>-0.17619048657060479</v>
      </c>
      <c r="Y184" s="44">
        <v>4.9690233344674706E-3</v>
      </c>
      <c r="Z184" s="44">
        <v>-7.3115437523510018E-2</v>
      </c>
      <c r="AA184" s="44">
        <v>1.3179707194370669E-2</v>
      </c>
      <c r="AB184" s="44">
        <v>-4.2385550570240738E-2</v>
      </c>
      <c r="AC184" s="44">
        <v>1.8952300863232189E-2</v>
      </c>
      <c r="AD184" s="44">
        <v>-1.5730051635411409E-2</v>
      </c>
      <c r="AE184" s="44">
        <v>-0.1235069479522642</v>
      </c>
      <c r="AF184" s="44">
        <v>-5.4409249605098298E-2</v>
      </c>
      <c r="AG184" s="44">
        <v>-7.0777116646105309E-2</v>
      </c>
      <c r="AH184" s="44">
        <v>1.026092744685037E-2</v>
      </c>
      <c r="AI184" s="44">
        <v>-0.11992788208932401</v>
      </c>
      <c r="AJ184" s="44">
        <v>-0.1323249309931265</v>
      </c>
      <c r="AK184" s="44">
        <v>-1.267544973795331E-2</v>
      </c>
      <c r="AL184" s="44">
        <v>-1.1654431341887711E-2</v>
      </c>
      <c r="AM184" s="44">
        <v>-1.9673271659071841E-2</v>
      </c>
      <c r="AN184" s="44">
        <v>-9.0739113769733204E-2</v>
      </c>
      <c r="AO184" s="44">
        <v>-3.8387679040453588E-3</v>
      </c>
      <c r="AP184" s="44">
        <v>-8.9853156731159678E-2</v>
      </c>
      <c r="AQ184" s="44">
        <v>-5.2034734208133648E-2</v>
      </c>
      <c r="AR184" s="44">
        <v>-1.7380712309698839E-2</v>
      </c>
      <c r="AS184" s="44">
        <v>-9.2323365892001741E-2</v>
      </c>
      <c r="AT184" s="44">
        <v>-3.3998917204676182E-2</v>
      </c>
      <c r="AU184" s="44">
        <v>-2.3725625845099959E-2</v>
      </c>
      <c r="AV184" s="44">
        <v>-8.3116439720451685E-2</v>
      </c>
      <c r="AW184" s="44">
        <v>0.10743727868220861</v>
      </c>
      <c r="AX184" s="44">
        <v>-4.236083027580273E-2</v>
      </c>
      <c r="AY184" s="44">
        <v>-0.1072802151264034</v>
      </c>
      <c r="AZ184" s="44">
        <v>-5.7544697681375379E-2</v>
      </c>
    </row>
    <row r="185" spans="1:52" ht="16" x14ac:dyDescent="0.2">
      <c r="A185" s="39">
        <v>45748</v>
      </c>
      <c r="B185" s="43">
        <v>-4.3352951328328733E-2</v>
      </c>
      <c r="C185" s="43">
        <v>-9.757505362245511E-3</v>
      </c>
      <c r="D185" s="43">
        <v>-2.229287883654929E-2</v>
      </c>
      <c r="E185" s="43">
        <v>5.723534934819563E-2</v>
      </c>
      <c r="F185" s="43">
        <v>-6.6217203953407133E-2</v>
      </c>
      <c r="G185" s="43">
        <v>-3.0694820280155129E-2</v>
      </c>
      <c r="H185" s="43">
        <v>-5.7734543788773178E-2</v>
      </c>
      <c r="I185" s="43">
        <v>-6.4765802654700222E-2</v>
      </c>
      <c r="J185" s="43">
        <v>5.1512967408774202E-2</v>
      </c>
      <c r="K185" s="43">
        <v>-5.8249345107500128E-2</v>
      </c>
      <c r="L185" s="43">
        <v>-0.1866818594322788</v>
      </c>
      <c r="M185" s="43">
        <v>-7.8520772124561655E-2</v>
      </c>
      <c r="N185" s="43">
        <v>-8.2438854424693453E-3</v>
      </c>
      <c r="O185" s="43">
        <v>-4.1317040028183261E-2</v>
      </c>
      <c r="P185" s="43">
        <v>-0.13178408634641919</v>
      </c>
      <c r="Q185" s="43">
        <v>6.0400960659021008E-2</v>
      </c>
      <c r="R185" s="43">
        <v>-5.7460428979035916E-3</v>
      </c>
      <c r="S185" s="43">
        <v>3.8522233108047028E-3</v>
      </c>
      <c r="T185" s="43">
        <v>6.9447455259752378E-3</v>
      </c>
      <c r="U185" s="43">
        <v>2.6901180782505699E-2</v>
      </c>
      <c r="V185" s="43">
        <v>2.3064718416598851E-3</v>
      </c>
      <c r="W185" s="43">
        <v>-1.6371536068094938E-2</v>
      </c>
      <c r="X185" s="43">
        <v>3.4847244210369999E-2</v>
      </c>
      <c r="Y185" s="43">
        <v>-5.7465038116687461E-2</v>
      </c>
      <c r="Z185" s="43">
        <v>3.3703629309043141E-3</v>
      </c>
      <c r="AA185" s="43">
        <v>1.2985204855967771E-2</v>
      </c>
      <c r="AB185" s="43">
        <v>2.0075891909840271E-2</v>
      </c>
      <c r="AC185" s="43">
        <v>2.3305583981476419E-2</v>
      </c>
      <c r="AD185" s="43">
        <v>-5.675478872203632E-2</v>
      </c>
      <c r="AE185" s="43">
        <v>-2.776371147624634E-3</v>
      </c>
      <c r="AF185" s="43">
        <v>5.2931570639253467E-2</v>
      </c>
      <c r="AG185" s="43">
        <v>-0.1143975336411294</v>
      </c>
      <c r="AH185" s="43">
        <v>-5.6566505126438127E-2</v>
      </c>
      <c r="AI185" s="43">
        <v>2.8296332098955771E-2</v>
      </c>
      <c r="AJ185" s="43">
        <v>4.9824108117870747E-3</v>
      </c>
      <c r="AK185" s="43">
        <v>-0.18615312083259389</v>
      </c>
      <c r="AL185" s="43">
        <v>-0.17194117047530391</v>
      </c>
      <c r="AM185" s="43">
        <v>-4.0116543351534577E-2</v>
      </c>
      <c r="AN185" s="43">
        <v>-4.5899967585055768E-3</v>
      </c>
      <c r="AO185" s="43">
        <v>-0.11994218418427641</v>
      </c>
      <c r="AP185" s="43">
        <v>-8.5785914697491972E-2</v>
      </c>
      <c r="AQ185" s="43">
        <v>2.1792593072380791E-2</v>
      </c>
      <c r="AR185" s="43">
        <v>-3.3526437113679967E-2</v>
      </c>
      <c r="AS185" s="43">
        <v>-5.5925945365565388E-2</v>
      </c>
      <c r="AT185" s="43">
        <v>1.068164750864486E-2</v>
      </c>
      <c r="AU185" s="43">
        <v>5.648592527628149E-2</v>
      </c>
      <c r="AV185" s="43">
        <v>-0.1017503008430508</v>
      </c>
      <c r="AW185" s="43">
        <v>-0.21443441786525291</v>
      </c>
      <c r="AX185" s="43">
        <v>-8.711482261722292E-2</v>
      </c>
      <c r="AY185" s="43">
        <v>0.10775700421892261</v>
      </c>
      <c r="AZ185" s="43">
        <v>-7.6249433462898253E-3</v>
      </c>
    </row>
    <row r="186" spans="1:52" ht="16" x14ac:dyDescent="0.2">
      <c r="A186" s="41">
        <v>45778</v>
      </c>
      <c r="B186" s="44">
        <v>-5.3584115788252278E-2</v>
      </c>
      <c r="C186" s="44">
        <v>2.1644501405762909E-2</v>
      </c>
      <c r="D186" s="44">
        <v>0.1069656626390811</v>
      </c>
      <c r="E186" s="44">
        <v>6.0832141795376327E-2</v>
      </c>
      <c r="F186" s="44">
        <v>-6.6434065204501458E-4</v>
      </c>
      <c r="G186" s="44">
        <v>0.1116473080052216</v>
      </c>
      <c r="H186" s="44">
        <v>0.12532754277217451</v>
      </c>
      <c r="I186" s="44">
        <v>1.081871063358442E-2</v>
      </c>
      <c r="J186" s="44">
        <v>4.7295386022823793E-2</v>
      </c>
      <c r="K186" s="44">
        <v>9.1979944824042814E-2</v>
      </c>
      <c r="L186" s="44">
        <v>1.6941361652107911E-2</v>
      </c>
      <c r="M186" s="44">
        <v>0.24288078929686541</v>
      </c>
      <c r="N186" s="44">
        <v>5.6437019125298749E-2</v>
      </c>
      <c r="O186" s="44">
        <v>0.14077155859373791</v>
      </c>
      <c r="P186" s="44">
        <v>-1.595219967535455E-2</v>
      </c>
      <c r="Q186" s="44">
        <v>9.9361410933204608E-2</v>
      </c>
      <c r="R186" s="44">
        <v>7.7963342939481262E-2</v>
      </c>
      <c r="S186" s="44">
        <v>2.340869757932551E-2</v>
      </c>
      <c r="T186" s="44">
        <v>0.22015481368441711</v>
      </c>
      <c r="U186" s="44">
        <v>8.1486200542830067E-2</v>
      </c>
      <c r="V186" s="44">
        <v>0.1020783057330663</v>
      </c>
      <c r="W186" s="44">
        <v>2.1637293269961781E-2</v>
      </c>
      <c r="X186" s="44">
        <v>3.830191058132848E-2</v>
      </c>
      <c r="Y186" s="44">
        <v>1.4752602596608271E-3</v>
      </c>
      <c r="Z186" s="44">
        <v>7.9224991791791322E-2</v>
      </c>
      <c r="AA186" s="44">
        <v>-6.2026143050563087E-3</v>
      </c>
      <c r="AB186" s="44">
        <v>8.2873951753783759E-2</v>
      </c>
      <c r="AC186" s="44">
        <v>-1.8144789084146851E-2</v>
      </c>
      <c r="AD186" s="44">
        <v>-2.1000702172499049E-2</v>
      </c>
      <c r="AE186" s="44">
        <v>0.1092531379418811</v>
      </c>
      <c r="AF186" s="44">
        <v>0.166839835111249</v>
      </c>
      <c r="AG186" s="44">
        <v>0.22755032896937369</v>
      </c>
      <c r="AH186" s="44">
        <v>5.6220143538128653E-2</v>
      </c>
      <c r="AI186" s="44">
        <v>0.1048467990687245</v>
      </c>
      <c r="AJ186" s="44">
        <v>0.24063538701474199</v>
      </c>
      <c r="AK186" s="44">
        <v>7.4366179990096759E-2</v>
      </c>
      <c r="AL186" s="44">
        <v>-3.6692942745094599E-3</v>
      </c>
      <c r="AM186" s="44">
        <v>4.5026943828387463E-2</v>
      </c>
      <c r="AN186" s="44">
        <v>0.1016600694332617</v>
      </c>
      <c r="AO186" s="44">
        <v>-8.5385951516389058E-2</v>
      </c>
      <c r="AP186" s="44">
        <v>6.2622383501332646E-2</v>
      </c>
      <c r="AQ186" s="44">
        <v>0.1444837082487693</v>
      </c>
      <c r="AR186" s="44">
        <v>-2.195887849356171E-2</v>
      </c>
      <c r="AS186" s="44">
        <v>-0.1799647163874365</v>
      </c>
      <c r="AT186" s="44">
        <v>1.8916414089231282E-2</v>
      </c>
      <c r="AU186" s="44">
        <v>-1.0629027205946381E-2</v>
      </c>
      <c r="AV186" s="44">
        <v>0.14245550315839339</v>
      </c>
      <c r="AW186" s="44">
        <v>-0.26621133106547579</v>
      </c>
      <c r="AX186" s="44">
        <v>3.4048810584466523E-2</v>
      </c>
      <c r="AY186" s="44">
        <v>1.7570192617849981E-2</v>
      </c>
      <c r="AZ186" s="44">
        <v>6.1523826140782889E-2</v>
      </c>
    </row>
    <row r="187" spans="1:52" ht="16" x14ac:dyDescent="0.2">
      <c r="A187" s="39">
        <v>45809</v>
      </c>
      <c r="B187" s="43">
        <v>2.1508605533881339E-2</v>
      </c>
      <c r="C187" s="43">
        <v>1.819120973810473E-2</v>
      </c>
      <c r="D187" s="43">
        <v>-6.796114506241846E-2</v>
      </c>
      <c r="E187" s="43">
        <v>3.8589835343762369E-2</v>
      </c>
      <c r="F187" s="43">
        <v>-3.112649164573067E-2</v>
      </c>
      <c r="G187" s="43">
        <v>7.0142945554456881E-2</v>
      </c>
      <c r="H187" s="43">
        <v>0.1154497536420012</v>
      </c>
      <c r="I187" s="43">
        <v>3.2397958977106622E-2</v>
      </c>
      <c r="J187" s="43">
        <v>-4.8299203132858633E-2</v>
      </c>
      <c r="K187" s="43">
        <v>0.10057093730054099</v>
      </c>
      <c r="L187" s="43">
        <v>4.7476473864013442E-2</v>
      </c>
      <c r="M187" s="43">
        <v>0.1017235168189852</v>
      </c>
      <c r="N187" s="43">
        <v>1.6865081559142459E-2</v>
      </c>
      <c r="O187" s="43">
        <v>0.11685375728883129</v>
      </c>
      <c r="P187" s="43">
        <v>0.1016856053399411</v>
      </c>
      <c r="Q187" s="43">
        <v>2.4163589530783462E-2</v>
      </c>
      <c r="R187" s="43">
        <v>3.1326660201990382E-2</v>
      </c>
      <c r="S187" s="43">
        <v>4.729087119511699E-2</v>
      </c>
      <c r="T187" s="43">
        <v>4.6683853860304492E-2</v>
      </c>
      <c r="U187" s="43">
        <v>2.738644920068212E-2</v>
      </c>
      <c r="V187" s="43">
        <v>0.17869931559379129</v>
      </c>
      <c r="W187" s="43">
        <v>1.7065738099208969E-3</v>
      </c>
      <c r="X187" s="43">
        <v>4.6726114811017183E-2</v>
      </c>
      <c r="Y187" s="43">
        <v>-1.5849635145890991E-2</v>
      </c>
      <c r="Z187" s="43">
        <v>9.8143794984318689E-2</v>
      </c>
      <c r="AA187" s="43">
        <v>-1.1747322754284469E-2</v>
      </c>
      <c r="AB187" s="43">
        <v>3.4792137304027637E-2</v>
      </c>
      <c r="AC187" s="43">
        <v>-6.379779140114139E-2</v>
      </c>
      <c r="AD187" s="43">
        <v>5.922055620406308E-2</v>
      </c>
      <c r="AE187" s="43">
        <v>0.1002109235989217</v>
      </c>
      <c r="AF187" s="43">
        <v>8.0480575692532641E-2</v>
      </c>
      <c r="AG187" s="43">
        <v>0.30478500634474148</v>
      </c>
      <c r="AH187" s="43">
        <v>-9.3190181812394801E-3</v>
      </c>
      <c r="AI187" s="43">
        <v>7.45259513050327E-2</v>
      </c>
      <c r="AJ187" s="43">
        <v>0.16925169554178071</v>
      </c>
      <c r="AK187" s="43">
        <v>8.65233164622492E-2</v>
      </c>
      <c r="AL187" s="43">
        <v>9.7724536996450784E-3</v>
      </c>
      <c r="AM187" s="43">
        <v>-6.2216880973414712E-2</v>
      </c>
      <c r="AN187" s="43">
        <v>5.0804864967355153E-2</v>
      </c>
      <c r="AO187" s="43">
        <v>0.12687019481666861</v>
      </c>
      <c r="AP187" s="43">
        <v>-2.2804658432049821E-2</v>
      </c>
      <c r="AQ187" s="43">
        <v>1.0228205846932511E-2</v>
      </c>
      <c r="AR187" s="43">
        <v>0.1034207116885468</v>
      </c>
      <c r="AS187" s="43">
        <v>7.0816630952907689E-2</v>
      </c>
      <c r="AT187" s="43">
        <v>-4.3059034997485313E-2</v>
      </c>
      <c r="AU187" s="43">
        <v>-2.6871565079767179E-2</v>
      </c>
      <c r="AV187" s="43">
        <v>0.13546626398569489</v>
      </c>
      <c r="AW187" s="43">
        <v>4.0656604959260711E-2</v>
      </c>
      <c r="AX187" s="43">
        <v>3.79860959044791E-2</v>
      </c>
      <c r="AY187" s="43">
        <v>-9.5219347427780709E-3</v>
      </c>
      <c r="AZ187" s="43">
        <v>4.9606839467715817E-2</v>
      </c>
    </row>
    <row r="188" spans="1:52" ht="16" x14ac:dyDescent="0.2">
      <c r="A188" s="41">
        <v>45839</v>
      </c>
      <c r="B188" s="44">
        <v>1.169755094927649E-2</v>
      </c>
      <c r="C188" s="44">
        <v>-6.8035873066237706E-2</v>
      </c>
      <c r="D188" s="44">
        <v>-7.5449757219290814E-2</v>
      </c>
      <c r="E188" s="44">
        <v>-7.3009840123818837E-2</v>
      </c>
      <c r="F188" s="44">
        <v>5.6910615139435627E-2</v>
      </c>
      <c r="G188" s="44">
        <v>6.7095133149435826E-2</v>
      </c>
      <c r="H188" s="44">
        <v>0.1324401659278536</v>
      </c>
      <c r="I188" s="44">
        <v>-6.0391929063643768E-2</v>
      </c>
      <c r="J188" s="44">
        <v>-5.0811266397549737E-2</v>
      </c>
      <c r="K188" s="44">
        <v>-1.2836325585287019E-2</v>
      </c>
      <c r="L188" s="44">
        <v>5.9012353532511767E-2</v>
      </c>
      <c r="M188" s="44">
        <v>-3.9512966793519573E-2</v>
      </c>
      <c r="N188" s="44">
        <v>-2.8503554244540319E-2</v>
      </c>
      <c r="O188" s="44">
        <v>9.1352263754648444E-2</v>
      </c>
      <c r="P188" s="44">
        <v>1.173107744273327E-2</v>
      </c>
      <c r="Q188" s="44">
        <v>-0.17831216614909781</v>
      </c>
      <c r="R188" s="44">
        <v>6.4895371120575307E-2</v>
      </c>
      <c r="S188" s="44">
        <v>7.3881910482201274E-2</v>
      </c>
      <c r="T188" s="44">
        <v>5.4725666952768481E-2</v>
      </c>
      <c r="U188" s="44">
        <v>8.8917799199559111E-2</v>
      </c>
      <c r="V188" s="44">
        <v>2.2380923291434929E-2</v>
      </c>
      <c r="W188" s="44">
        <v>2.3728409136101192E-3</v>
      </c>
      <c r="X188" s="44">
        <v>9.9706329921690484E-2</v>
      </c>
      <c r="Y188" s="44">
        <v>7.8494447075122098E-2</v>
      </c>
      <c r="Z188" s="44">
        <v>2.6757209851034029E-2</v>
      </c>
      <c r="AA188" s="44">
        <v>-4.0423945716247862E-2</v>
      </c>
      <c r="AB188" s="44">
        <v>-5.3657035696298649E-2</v>
      </c>
      <c r="AC188" s="44">
        <v>2.7039033455646951E-2</v>
      </c>
      <c r="AD188" s="44">
        <v>3.5218592582913162E-2</v>
      </c>
      <c r="AE188" s="44">
        <v>1.8385094969150421E-2</v>
      </c>
      <c r="AF188" s="44">
        <v>7.2555870378367748E-2</v>
      </c>
      <c r="AG188" s="44">
        <v>-0.113649248034374</v>
      </c>
      <c r="AH188" s="44">
        <v>2.3624480244002651E-2</v>
      </c>
      <c r="AI188" s="44">
        <v>-1.7966880608129902E-2</v>
      </c>
      <c r="AJ188" s="44">
        <v>0.1258307696488512</v>
      </c>
      <c r="AK188" s="44">
        <v>4.7297368825361293E-2</v>
      </c>
      <c r="AL188" s="44">
        <v>5.8800308066713214E-3</v>
      </c>
      <c r="AM188" s="44">
        <v>-4.9089778551428043E-2</v>
      </c>
      <c r="AN188" s="44">
        <v>4.7861699150113068E-2</v>
      </c>
      <c r="AO188" s="44">
        <v>8.1253355966258489E-2</v>
      </c>
      <c r="AP188" s="44">
        <v>1.5791402519404141E-2</v>
      </c>
      <c r="AQ188" s="44">
        <v>-0.10152556678091749</v>
      </c>
      <c r="AR188" s="44">
        <v>-7.8488173938549233E-2</v>
      </c>
      <c r="AS188" s="44">
        <v>3.8971447122517322E-2</v>
      </c>
      <c r="AT188" s="44">
        <v>-3.6346650289846287E-2</v>
      </c>
      <c r="AU188" s="44">
        <v>8.4217956669088156E-3</v>
      </c>
      <c r="AV188" s="44">
        <v>-0.12162280898604209</v>
      </c>
      <c r="AW188" s="44">
        <v>-0.20005139617400339</v>
      </c>
      <c r="AX188" s="44">
        <v>-3.5248555139378301E-2</v>
      </c>
      <c r="AY188" s="44">
        <v>2.0454115271775208E-3</v>
      </c>
      <c r="AZ188" s="44">
        <v>2.1666562530640698E-2</v>
      </c>
    </row>
    <row r="189" spans="1:52" ht="16" x14ac:dyDescent="0.2">
      <c r="A189" s="39">
        <v>45870</v>
      </c>
      <c r="B189" s="43">
        <v>0.1196389212281956</v>
      </c>
      <c r="C189" s="43">
        <v>5.1271805220634008E-2</v>
      </c>
      <c r="D189" s="43">
        <v>-2.767732471184114E-3</v>
      </c>
      <c r="E189" s="43">
        <v>7.8572761617929032E-2</v>
      </c>
      <c r="F189" s="43">
        <v>-1.7133177329767491E-2</v>
      </c>
      <c r="G189" s="43">
        <v>-2.18273486695536E-2</v>
      </c>
      <c r="H189" s="43">
        <v>-4.3331272172244417E-2</v>
      </c>
      <c r="I189" s="43">
        <v>2.2268949273189339E-2</v>
      </c>
      <c r="J189" s="43">
        <v>5.3071774802637686E-3</v>
      </c>
      <c r="K189" s="43">
        <v>1.4835238997250141E-2</v>
      </c>
      <c r="L189" s="43">
        <v>7.0877197657918334E-2</v>
      </c>
      <c r="M189" s="43">
        <v>-6.1287993331404778E-3</v>
      </c>
      <c r="N189" s="43">
        <v>5.8374040240186893E-2</v>
      </c>
      <c r="O189" s="43">
        <v>-8.9267178875148123E-2</v>
      </c>
      <c r="P189" s="43">
        <v>3.9993359106699877E-2</v>
      </c>
      <c r="Q189" s="43">
        <v>3.3130781551610637E-2</v>
      </c>
      <c r="R189" s="43">
        <v>-8.9336598590072924E-4</v>
      </c>
      <c r="S189" s="43">
        <v>4.1590536646009417E-2</v>
      </c>
      <c r="T189" s="43">
        <v>1.5198463611185931E-2</v>
      </c>
      <c r="U189" s="43">
        <v>0.1094841447379287</v>
      </c>
      <c r="V189" s="43">
        <v>3.5447476617670448E-2</v>
      </c>
      <c r="W189" s="43">
        <v>0.10682700974438181</v>
      </c>
      <c r="X189" s="43">
        <v>0.1297903765512203</v>
      </c>
      <c r="Y189" s="43">
        <v>8.3346093883493788E-2</v>
      </c>
      <c r="Z189" s="43">
        <v>1.7485930667302751E-2</v>
      </c>
      <c r="AA189" s="43">
        <v>1.6202752996912428E-2</v>
      </c>
      <c r="AB189" s="43">
        <v>7.9244187208133976E-3</v>
      </c>
      <c r="AC189" s="43">
        <v>4.4889669183273417E-2</v>
      </c>
      <c r="AD189" s="43">
        <v>2.847967948226637E-2</v>
      </c>
      <c r="AE189" s="43">
        <v>5.6296411675677671E-2</v>
      </c>
      <c r="AF189" s="43">
        <v>-4.8691866006817068E-2</v>
      </c>
      <c r="AG189" s="43">
        <v>9.0434408414234335E-2</v>
      </c>
      <c r="AH189" s="43">
        <v>2.177252199557755E-2</v>
      </c>
      <c r="AI189" s="43">
        <v>8.3165179078969143E-2</v>
      </c>
      <c r="AJ189" s="43">
        <v>-2.0745557401078751E-2</v>
      </c>
      <c r="AK189" s="43">
        <v>0.12442390602133239</v>
      </c>
      <c r="AL189" s="43">
        <v>-5.7967302210655818E-2</v>
      </c>
      <c r="AM189" s="43">
        <v>4.3663134819144973E-2</v>
      </c>
      <c r="AN189" s="43">
        <v>3.7505150984424862E-2</v>
      </c>
      <c r="AO189" s="43">
        <v>0.1134577306823812</v>
      </c>
      <c r="AP189" s="43">
        <v>6.5555411633110294E-2</v>
      </c>
      <c r="AQ189" s="43">
        <v>0.1210394542488293</v>
      </c>
      <c r="AR189" s="43">
        <v>9.5189558925843132E-2</v>
      </c>
      <c r="AS189" s="43">
        <v>6.6222679996179146E-2</v>
      </c>
      <c r="AT189" s="43">
        <v>0.10802175272907499</v>
      </c>
      <c r="AU189" s="43">
        <v>0.1004926295924142</v>
      </c>
      <c r="AV189" s="43">
        <v>0.1183034116370747</v>
      </c>
      <c r="AW189" s="43">
        <v>0.2416653676379048</v>
      </c>
      <c r="AX189" s="43">
        <v>1.349840256719315E-2</v>
      </c>
      <c r="AY189" s="43">
        <v>-7.8943547044654228E-3</v>
      </c>
      <c r="AZ189" s="43">
        <v>1.9066444295036119E-2</v>
      </c>
    </row>
    <row r="190" spans="1:52" ht="16" x14ac:dyDescent="0.2">
      <c r="A190" s="41">
        <v>45901</v>
      </c>
      <c r="B190" s="44">
        <v>9.6881326474345997E-2</v>
      </c>
      <c r="C190" s="44">
        <v>9.648848838859525E-3</v>
      </c>
      <c r="D190" s="44">
        <v>-1.1073765270124601E-2</v>
      </c>
      <c r="E190" s="44">
        <v>2.448554084968824E-2</v>
      </c>
      <c r="F190" s="44">
        <v>-1.9151193899978769E-2</v>
      </c>
      <c r="G190" s="44">
        <v>-4.1179007317822092E-2</v>
      </c>
      <c r="H190" s="44">
        <v>0.13867402279660551</v>
      </c>
      <c r="I190" s="44">
        <v>-7.5066202517803049E-2</v>
      </c>
      <c r="J190" s="44">
        <v>-1.8752869214826658E-2</v>
      </c>
      <c r="K190" s="44">
        <v>-9.6974150859073793E-3</v>
      </c>
      <c r="L190" s="44">
        <v>-3.3063676153831538E-2</v>
      </c>
      <c r="M190" s="44">
        <v>-3.2775778954340813E-2</v>
      </c>
      <c r="N190" s="44">
        <v>-9.0983348034462397E-3</v>
      </c>
      <c r="O190" s="44">
        <v>-6.2121763070326352E-3</v>
      </c>
      <c r="P190" s="44">
        <v>-0.1017465041581745</v>
      </c>
      <c r="Q190" s="44">
        <v>0.10368790106823771</v>
      </c>
      <c r="R190" s="44">
        <v>3.2094230449123178E-2</v>
      </c>
      <c r="S190" s="44">
        <v>5.0620731742673231E-2</v>
      </c>
      <c r="T190" s="44">
        <v>9.4431693313638432E-2</v>
      </c>
      <c r="U190" s="44">
        <v>0.14281829662616219</v>
      </c>
      <c r="V190" s="44">
        <v>6.8567481186933454E-2</v>
      </c>
      <c r="W190" s="44">
        <v>1.7670311936286429E-3</v>
      </c>
      <c r="X190" s="44">
        <v>2.3637507008564822E-3</v>
      </c>
      <c r="Y190" s="44">
        <v>4.6565438295351758E-2</v>
      </c>
      <c r="Z190" s="44">
        <v>4.6479888356063759E-2</v>
      </c>
      <c r="AA190" s="44">
        <v>-3.1328981312008793E-2</v>
      </c>
      <c r="AB190" s="44">
        <v>2.4265730398518759E-2</v>
      </c>
      <c r="AC190" s="44">
        <v>-2.52750428116576E-2</v>
      </c>
      <c r="AD190" s="44">
        <v>3.3967383693068731E-2</v>
      </c>
      <c r="AE190" s="44">
        <v>5.6353096725688889E-2</v>
      </c>
      <c r="AF190" s="44">
        <v>2.2222740407509711E-2</v>
      </c>
      <c r="AG190" s="44">
        <v>0.40593222640750543</v>
      </c>
      <c r="AH190" s="44">
        <v>4.7744549324356678E-2</v>
      </c>
      <c r="AI190" s="44">
        <v>5.0270439099273201E-2</v>
      </c>
      <c r="AJ190" s="44">
        <v>7.125111963927333E-2</v>
      </c>
      <c r="AK190" s="44">
        <v>1.5573814510498879E-2</v>
      </c>
      <c r="AL190" s="44">
        <v>-4.4645255756405433E-2</v>
      </c>
      <c r="AM190" s="44">
        <v>-2.158681170032806E-2</v>
      </c>
      <c r="AN190" s="44">
        <v>7.9209001847146965E-4</v>
      </c>
      <c r="AO190" s="44">
        <v>1.2351155081746329E-2</v>
      </c>
      <c r="AP190" s="44">
        <v>1.5479255054100969E-2</v>
      </c>
      <c r="AQ190" s="44">
        <v>-1.8792410628757139E-2</v>
      </c>
      <c r="AR190" s="44">
        <v>4.0917904647269847E-2</v>
      </c>
      <c r="AS190" s="44">
        <v>-3.1737697519410142E-2</v>
      </c>
      <c r="AT190" s="44">
        <v>-5.3494719480368318E-2</v>
      </c>
      <c r="AU190" s="44">
        <v>5.8048292570585192E-2</v>
      </c>
      <c r="AV190" s="44">
        <v>-9.2601809790333944E-2</v>
      </c>
      <c r="AW190" s="44">
        <v>0.121368392578604</v>
      </c>
      <c r="AX190" s="44">
        <v>5.7252619384831061E-2</v>
      </c>
      <c r="AY190" s="44">
        <v>6.269324811370014E-2</v>
      </c>
      <c r="AZ190" s="44">
        <v>3.5323687218701487E-2</v>
      </c>
    </row>
    <row r="191" spans="1:52" ht="16" x14ac:dyDescent="0.2">
      <c r="A191" s="39">
        <v>45931</v>
      </c>
      <c r="B191" s="43">
        <v>6.1815169671435521E-2</v>
      </c>
      <c r="C191" s="43">
        <v>-7.2945302955177538E-2</v>
      </c>
      <c r="D191" s="43">
        <v>-3.5265775879252281E-2</v>
      </c>
      <c r="E191" s="43">
        <v>-9.3228112046509493E-3</v>
      </c>
      <c r="F191" s="43">
        <v>5.7512301145558047E-2</v>
      </c>
      <c r="G191" s="43">
        <v>0.11226484981660539</v>
      </c>
      <c r="H191" s="43">
        <v>0.2132840166329317</v>
      </c>
      <c r="I191" s="43">
        <v>-0.1045352452072877</v>
      </c>
      <c r="J191" s="43">
        <v>-1.392620061441008E-2</v>
      </c>
      <c r="K191" s="43">
        <v>7.4999496358931106E-2</v>
      </c>
      <c r="L191" s="43">
        <v>1.5648340326303248E-2</v>
      </c>
      <c r="M191" s="43">
        <v>-1.6419136175129471E-2</v>
      </c>
      <c r="N191" s="43">
        <v>-6.3755178174363714E-2</v>
      </c>
      <c r="O191" s="43">
        <v>6.3958089213303149E-2</v>
      </c>
      <c r="P191" s="43">
        <v>-4.6947449713746432E-2</v>
      </c>
      <c r="Q191" s="43">
        <v>-6.36804144479306E-2</v>
      </c>
      <c r="R191" s="43">
        <v>-0.21702403805750359</v>
      </c>
      <c r="S191" s="43">
        <v>1.5882530855376938E-2</v>
      </c>
      <c r="T191" s="43">
        <v>2.7026060935400938E-2</v>
      </c>
      <c r="U191" s="43">
        <v>0.15668447208979311</v>
      </c>
      <c r="V191" s="43">
        <v>-8.7649565542500252E-3</v>
      </c>
      <c r="W191" s="43">
        <v>-6.3180196141074396E-2</v>
      </c>
      <c r="X191" s="43">
        <v>0.1022285821002398</v>
      </c>
      <c r="Y191" s="43">
        <v>1.8606307893058061E-2</v>
      </c>
      <c r="Z191" s="43">
        <v>-8.8685785998915412E-3</v>
      </c>
      <c r="AA191" s="43">
        <v>3.8902363432306693E-2</v>
      </c>
      <c r="AB191" s="43">
        <v>-0.20859414345564711</v>
      </c>
      <c r="AC191" s="43">
        <v>-1.7967243455947909E-2</v>
      </c>
      <c r="AD191" s="43">
        <v>-4.7669051514754528E-2</v>
      </c>
      <c r="AE191" s="43">
        <v>3.7986970628400167E-2</v>
      </c>
      <c r="AF191" s="43">
        <v>-2.7041020848439512E-4</v>
      </c>
      <c r="AG191" s="43">
        <v>0.33821499478622052</v>
      </c>
      <c r="AH191" s="43">
        <v>7.8288491993518949E-2</v>
      </c>
      <c r="AI191" s="43">
        <v>-1.4156213773114381E-3</v>
      </c>
      <c r="AJ191" s="43">
        <v>8.5271767883918104E-2</v>
      </c>
      <c r="AK191" s="43">
        <v>-6.0129125497609737E-2</v>
      </c>
      <c r="AL191" s="43">
        <v>-8.1814443990048336E-2</v>
      </c>
      <c r="AM191" s="43">
        <v>-1.4503548423008829E-2</v>
      </c>
      <c r="AN191" s="43">
        <v>1.9362921714882301E-2</v>
      </c>
      <c r="AO191" s="43">
        <v>4.1394284270565913E-2</v>
      </c>
      <c r="AP191" s="43">
        <v>8.3566284877457875E-2</v>
      </c>
      <c r="AQ191" s="43">
        <v>3.0277520642997709E-2</v>
      </c>
      <c r="AR191" s="43">
        <v>8.740078328443901E-2</v>
      </c>
      <c r="AS191" s="43">
        <v>0.15922964978308249</v>
      </c>
      <c r="AT191" s="43">
        <v>-3.8121361646246128E-3</v>
      </c>
      <c r="AU191" s="43">
        <v>-3.044142811622241E-2</v>
      </c>
      <c r="AV191" s="43">
        <v>-0.1133665093973099</v>
      </c>
      <c r="AW191" s="43">
        <v>-1.0831094515159959E-2</v>
      </c>
      <c r="AX191" s="43">
        <v>-6.7690457603951093E-2</v>
      </c>
      <c r="AY191" s="43">
        <v>-1.824180306574685E-2</v>
      </c>
      <c r="AZ191" s="43">
        <v>2.26868719049238E-2</v>
      </c>
    </row>
    <row r="192" spans="1:52" ht="16" x14ac:dyDescent="0.2">
      <c r="A192" s="41">
        <v>45962</v>
      </c>
      <c r="B192" s="44">
        <v>3.2364217563673137E-2</v>
      </c>
      <c r="C192" s="44">
        <v>4.2711386729686003E-2</v>
      </c>
      <c r="D192" s="44">
        <v>-5.9298853458769507E-2</v>
      </c>
      <c r="E192" s="44">
        <v>2.8317200580692869E-2</v>
      </c>
      <c r="F192" s="44">
        <v>0.1658478371792762</v>
      </c>
      <c r="G192" s="44">
        <v>-4.5041355929153482E-2</v>
      </c>
      <c r="H192" s="44">
        <v>-2.598298664884036E-3</v>
      </c>
      <c r="I192" s="44">
        <v>-4.1307496243949249E-2</v>
      </c>
      <c r="J192" s="44">
        <v>2.3479278198506042E-3</v>
      </c>
      <c r="K192" s="44">
        <v>5.2386848189818869E-2</v>
      </c>
      <c r="L192" s="44">
        <v>-3.108116574030673E-2</v>
      </c>
      <c r="M192" s="44">
        <v>-7.2367293411407352E-2</v>
      </c>
      <c r="N192" s="44">
        <v>7.3166824290682886E-2</v>
      </c>
      <c r="O192" s="44">
        <v>-4.0203899429454681E-2</v>
      </c>
      <c r="P192" s="44">
        <v>1.899095257304206E-2</v>
      </c>
      <c r="Q192" s="44">
        <v>0.1422291249141274</v>
      </c>
      <c r="R192" s="44">
        <v>-5.4890334803937679E-2</v>
      </c>
      <c r="S192" s="44">
        <v>-9.480957132368184E-3</v>
      </c>
      <c r="T192" s="44">
        <v>-3.398600015924913E-2</v>
      </c>
      <c r="U192" s="44">
        <v>0.138660655002419</v>
      </c>
      <c r="V192" s="44">
        <v>4.6454729558088381E-2</v>
      </c>
      <c r="W192" s="44">
        <v>-5.9722305124742643E-2</v>
      </c>
      <c r="X192" s="44">
        <v>0.1174582299234017</v>
      </c>
      <c r="Y192" s="44">
        <v>0.10252451303545281</v>
      </c>
      <c r="Z192" s="44">
        <v>6.2998151320712292E-3</v>
      </c>
      <c r="AA192" s="44">
        <v>6.1248240718820617E-2</v>
      </c>
      <c r="AB192" s="44">
        <v>3.6599688986878709E-2</v>
      </c>
      <c r="AC192" s="44">
        <v>4.486834020402064E-2</v>
      </c>
      <c r="AD192" s="44">
        <v>0.16130104727024991</v>
      </c>
      <c r="AE192" s="44">
        <v>3.4512246399961873E-2</v>
      </c>
      <c r="AF192" s="44">
        <v>-4.8046744181458712E-2</v>
      </c>
      <c r="AG192" s="44">
        <v>5.6799352384124591E-2</v>
      </c>
      <c r="AH192" s="44">
        <v>6.7252082521188639E-2</v>
      </c>
      <c r="AI192" s="44">
        <v>-5.2810358332729623E-2</v>
      </c>
      <c r="AJ192" s="44">
        <v>-0.125882777513319</v>
      </c>
      <c r="AK192" s="44">
        <v>4.765988232584828E-2</v>
      </c>
      <c r="AL192" s="44">
        <v>0.10383509050789599</v>
      </c>
      <c r="AM192" s="44">
        <v>-1.4697080251840239E-2</v>
      </c>
      <c r="AN192" s="44">
        <v>0.1174041336929805</v>
      </c>
      <c r="AO192" s="44">
        <v>-4.1422585226762558E-2</v>
      </c>
      <c r="AP192" s="44">
        <v>3.5780425793635162E-2</v>
      </c>
      <c r="AQ192" s="44">
        <v>0.22809043558611439</v>
      </c>
      <c r="AR192" s="44">
        <v>-7.0812520826857406E-2</v>
      </c>
      <c r="AS192" s="44">
        <v>0.19847823134418749</v>
      </c>
      <c r="AT192" s="44">
        <v>-1.295372072496193E-3</v>
      </c>
      <c r="AU192" s="44">
        <v>8.7188702503935955E-2</v>
      </c>
      <c r="AV192" s="44">
        <v>4.2177618456956667E-2</v>
      </c>
      <c r="AW192" s="44">
        <v>-3.4518039623392172E-2</v>
      </c>
      <c r="AX192" s="44">
        <v>5.2003564179445183E-2</v>
      </c>
      <c r="AY192" s="44">
        <v>9.2211943939756402E-2</v>
      </c>
      <c r="AZ192" s="44">
        <v>1.2996181666717901E-3</v>
      </c>
    </row>
    <row r="193" spans="1:52" ht="16" x14ac:dyDescent="0.2">
      <c r="A193" s="39">
        <v>45992</v>
      </c>
      <c r="B193" s="43">
        <v>-2.5067289046220131E-2</v>
      </c>
      <c r="C193" s="43">
        <v>-2.8006100227637169E-2</v>
      </c>
      <c r="D193" s="43">
        <v>9.327456001037171E-2</v>
      </c>
      <c r="E193" s="43">
        <v>-0.1065723617622861</v>
      </c>
      <c r="F193" s="43">
        <v>-5.2538580920230449E-2</v>
      </c>
      <c r="G193" s="43">
        <v>-1.029068640735142E-2</v>
      </c>
      <c r="H193" s="43">
        <v>-5.0195409385943579E-3</v>
      </c>
      <c r="I193" s="43">
        <v>0.11989511583155441</v>
      </c>
      <c r="J193" s="43">
        <v>-5.6097418913864439E-2</v>
      </c>
      <c r="K193" s="43">
        <v>1.16974678860382E-3</v>
      </c>
      <c r="L193" s="43">
        <v>8.4695040461764126E-3</v>
      </c>
      <c r="M193" s="43">
        <v>9.6388895721357004E-2</v>
      </c>
      <c r="N193" s="43">
        <v>-4.3262037102576811E-2</v>
      </c>
      <c r="O193" s="43">
        <v>-4.9483031323325211E-3</v>
      </c>
      <c r="P193" s="43">
        <v>-2.6332856476133371E-2</v>
      </c>
      <c r="Q193" s="43">
        <v>-7.6974496713849696E-3</v>
      </c>
      <c r="R193" s="43">
        <v>6.7318910345364413E-2</v>
      </c>
      <c r="S193" s="43">
        <v>-1.454789627194375E-2</v>
      </c>
      <c r="T193" s="43">
        <v>3.3279422907989131E-2</v>
      </c>
      <c r="U193" s="43">
        <v>-2.178548616629794E-2</v>
      </c>
      <c r="V193" s="43">
        <v>6.9388446404545334E-2</v>
      </c>
      <c r="W193" s="43">
        <v>-2.9683017667514581E-2</v>
      </c>
      <c r="X193" s="43">
        <v>-5.447063460918633E-2</v>
      </c>
      <c r="Y193" s="43">
        <v>1.4498676237151289E-4</v>
      </c>
      <c r="Z193" s="43">
        <v>2.9193898748310469E-2</v>
      </c>
      <c r="AA193" s="43">
        <v>-3.7184964166043111E-2</v>
      </c>
      <c r="AB193" s="43">
        <v>2.5580801059012389E-2</v>
      </c>
      <c r="AC193" s="43">
        <v>-1.396958149178518E-2</v>
      </c>
      <c r="AD193" s="43">
        <v>-8.1303351754816067E-2</v>
      </c>
      <c r="AE193" s="43">
        <v>4.6386918641378561E-2</v>
      </c>
      <c r="AF193" s="43">
        <v>-1.70526012626161E-2</v>
      </c>
      <c r="AG193" s="43">
        <v>0.20739726282209281</v>
      </c>
      <c r="AH193" s="43">
        <v>-6.9648905091551971E-2</v>
      </c>
      <c r="AI193" s="43">
        <v>-4.0068044965436811E-2</v>
      </c>
      <c r="AJ193" s="43">
        <v>5.3730931534792692E-2</v>
      </c>
      <c r="AK193" s="43">
        <v>-1.5163890888087341E-2</v>
      </c>
      <c r="AL193" s="43">
        <v>9.3381192009938108E-3</v>
      </c>
      <c r="AM193" s="43">
        <v>-3.273478672243324E-2</v>
      </c>
      <c r="AN193" s="43">
        <v>2.00302327807238E-2</v>
      </c>
      <c r="AO193" s="43">
        <v>0.39676997874858938</v>
      </c>
      <c r="AP193" s="43">
        <v>9.6868478020550874E-4</v>
      </c>
      <c r="AQ193" s="43">
        <v>-2.1205384776215471E-2</v>
      </c>
      <c r="AR193" s="43">
        <v>2.280918906210894E-2</v>
      </c>
      <c r="AS193" s="43">
        <v>-1.06640310711269E-2</v>
      </c>
      <c r="AT193" s="43">
        <v>-5.7202650729784137E-2</v>
      </c>
      <c r="AU193" s="43">
        <v>1.1124297400924471E-2</v>
      </c>
      <c r="AV193" s="43">
        <v>3.1021511320143521E-2</v>
      </c>
      <c r="AW193" s="43">
        <v>7.7614302326294293E-3</v>
      </c>
      <c r="AX193" s="43">
        <v>3.63692303515184E-3</v>
      </c>
      <c r="AY193" s="43">
        <v>1.0199159973349751E-2</v>
      </c>
      <c r="AZ193" s="43">
        <v>-5.2413442251397768E-4</v>
      </c>
    </row>
    <row r="194" spans="1:52" ht="16" x14ac:dyDescent="0.2">
      <c r="A194" s="41">
        <v>46023</v>
      </c>
      <c r="B194" s="44">
        <v>-4.5538075439272241E-2</v>
      </c>
      <c r="C194" s="44">
        <v>-0.1232048951560336</v>
      </c>
      <c r="D194" s="44">
        <v>-0.16211889430431539</v>
      </c>
      <c r="E194" s="44">
        <v>-3.6409312365558437E-2</v>
      </c>
      <c r="F194" s="44">
        <v>4.4514418564380431E-2</v>
      </c>
      <c r="G194" s="44">
        <v>3.6738564502459832E-2</v>
      </c>
      <c r="H194" s="44">
        <v>0.15017021310350409</v>
      </c>
      <c r="I194" s="44">
        <v>7.4452146084770909E-2</v>
      </c>
      <c r="J194" s="44">
        <v>9.1836807961044986E-2</v>
      </c>
      <c r="K194" s="44">
        <v>2.2187263380926359E-2</v>
      </c>
      <c r="L194" s="44">
        <v>0.16068508799012049</v>
      </c>
      <c r="M194" s="44">
        <v>-8.5259030424834625E-3</v>
      </c>
      <c r="N194" s="44">
        <v>7.4165749565448191E-2</v>
      </c>
      <c r="O194" s="44">
        <v>0.1072935983397432</v>
      </c>
      <c r="P194" s="44">
        <v>7.7982107044978655E-2</v>
      </c>
      <c r="Q194" s="44">
        <v>-5.635412086506153E-2</v>
      </c>
      <c r="R194" s="44">
        <v>7.9722601593104736E-2</v>
      </c>
      <c r="S194" s="44">
        <v>4.712237064451319E-2</v>
      </c>
      <c r="T194" s="44">
        <v>-4.0255120626780938E-3</v>
      </c>
      <c r="U194" s="44">
        <v>7.9872252849639391E-2</v>
      </c>
      <c r="V194" s="44">
        <v>6.417522511998941E-2</v>
      </c>
      <c r="W194" s="44">
        <v>8.8607934450864567E-2</v>
      </c>
      <c r="X194" s="44">
        <v>1.316192260748728E-2</v>
      </c>
      <c r="Y194" s="44">
        <v>9.809131433435514E-2</v>
      </c>
      <c r="Z194" s="44">
        <v>-4.6397476282515449E-2</v>
      </c>
      <c r="AA194" s="44">
        <v>7.0090003768957576E-2</v>
      </c>
      <c r="AB194" s="44">
        <v>6.278093777294913E-2</v>
      </c>
      <c r="AC194" s="44">
        <v>3.0657960122141951E-2</v>
      </c>
      <c r="AD194" s="44">
        <v>7.1830106738747901E-2</v>
      </c>
      <c r="AE194" s="44">
        <v>3.5361460161852598E-2</v>
      </c>
      <c r="AF194" s="44">
        <v>-0.1102724235276337</v>
      </c>
      <c r="AG194" s="44">
        <v>0.45362808188767462</v>
      </c>
      <c r="AH194" s="44">
        <v>9.4917771485582447E-2</v>
      </c>
      <c r="AI194" s="44">
        <v>-9.5899489277542216E-2</v>
      </c>
      <c r="AJ194" s="44">
        <v>2.4825817152531741E-2</v>
      </c>
      <c r="AK194" s="44">
        <v>0.2526008956045338</v>
      </c>
      <c r="AL194" s="44">
        <v>7.741493902599994E-2</v>
      </c>
      <c r="AM194" s="44">
        <v>6.6551952447404084E-2</v>
      </c>
      <c r="AN194" s="44">
        <v>6.4712832504555839E-2</v>
      </c>
      <c r="AO194" s="44">
        <v>8.0312490463256836E-2</v>
      </c>
      <c r="AP194" s="44">
        <v>2.2716576247300502E-2</v>
      </c>
      <c r="AQ194" s="44">
        <v>-2.1550612217831059E-2</v>
      </c>
      <c r="AR194" s="44">
        <v>-0.1137679662527996</v>
      </c>
      <c r="AS194" s="44">
        <v>-3.9410756482040621E-2</v>
      </c>
      <c r="AT194" s="44">
        <v>9.44665288704718E-2</v>
      </c>
      <c r="AU194" s="44">
        <v>-2.473792804751385E-2</v>
      </c>
      <c r="AV194" s="44">
        <v>0.25054439148215701</v>
      </c>
      <c r="AW194" s="44">
        <v>-0.13080491222323401</v>
      </c>
      <c r="AX194" s="44">
        <v>1.6340997796464359E-2</v>
      </c>
      <c r="AY194" s="44">
        <v>6.9383333761763755E-2</v>
      </c>
      <c r="AZ194" s="44">
        <v>1.3662958900920291E-2</v>
      </c>
    </row>
    <row r="195" spans="1:52" ht="16" x14ac:dyDescent="0.2">
      <c r="A195" s="39">
        <v>46054</v>
      </c>
      <c r="B195" s="43">
        <v>1.906584775625153E-2</v>
      </c>
      <c r="C195" s="43">
        <v>6.4501348681348381E-2</v>
      </c>
      <c r="D195" s="43">
        <v>-0.1051662279211957</v>
      </c>
      <c r="E195" s="43">
        <v>4.8314090395651382E-4</v>
      </c>
      <c r="F195" s="43">
        <v>0.14323618348252129</v>
      </c>
      <c r="G195" s="43">
        <v>-0.1224404625077274</v>
      </c>
      <c r="H195" s="43">
        <v>0.13002012336465049</v>
      </c>
      <c r="I195" s="43">
        <v>4.0672188404298433E-2</v>
      </c>
      <c r="J195" s="43">
        <v>7.5022608271466229E-2</v>
      </c>
      <c r="K195" s="43">
        <v>1.45556817275827E-2</v>
      </c>
      <c r="L195" s="43">
        <v>6.606526807890889E-2</v>
      </c>
      <c r="M195" s="43">
        <v>-5.9929139522623798E-2</v>
      </c>
      <c r="N195" s="43">
        <v>9.3478571681938627E-2</v>
      </c>
      <c r="O195" s="43">
        <v>2.9731232147893531E-2</v>
      </c>
      <c r="P195" s="43">
        <v>0.10657280008134599</v>
      </c>
      <c r="Q195" s="43">
        <v>6.528048169959888E-2</v>
      </c>
      <c r="R195" s="43">
        <v>-1.542034115556001E-2</v>
      </c>
      <c r="S195" s="43">
        <v>1.6975657453472511E-2</v>
      </c>
      <c r="T195" s="43">
        <v>0.11561659821809279</v>
      </c>
      <c r="U195" s="43">
        <v>-7.7633138385723832E-2</v>
      </c>
      <c r="V195" s="43">
        <v>-8.1076743774037285E-2</v>
      </c>
      <c r="W195" s="43">
        <v>1.6364595871060979E-2</v>
      </c>
      <c r="X195" s="43">
        <v>1.199157541622586E-2</v>
      </c>
      <c r="Y195" s="43">
        <v>9.9012901555825206E-2</v>
      </c>
      <c r="Z195" s="43">
        <v>-1.8274626056834279E-2</v>
      </c>
      <c r="AA195" s="43">
        <v>9.0228648803614586E-2</v>
      </c>
      <c r="AB195" s="43">
        <v>7.8239919997481477E-2</v>
      </c>
      <c r="AC195" s="43">
        <v>8.2730082039015107E-2</v>
      </c>
      <c r="AD195" s="43">
        <v>-5.1476283275669221E-2</v>
      </c>
      <c r="AE195" s="43">
        <v>-8.9113901192418021E-2</v>
      </c>
      <c r="AF195" s="43">
        <v>-8.518351769513588E-2</v>
      </c>
      <c r="AG195" s="43">
        <v>-6.0499055383057554E-3</v>
      </c>
      <c r="AH195" s="43">
        <v>7.405442755951186E-2</v>
      </c>
      <c r="AI195" s="43">
        <v>2.7815289711699661E-2</v>
      </c>
      <c r="AJ195" s="43">
        <v>-7.293465552553402E-2</v>
      </c>
      <c r="AK195" s="43">
        <v>0.1794019784084335</v>
      </c>
      <c r="AL195" s="43">
        <v>5.9523796427098041E-2</v>
      </c>
      <c r="AM195" s="43">
        <v>0.10166688897023569</v>
      </c>
      <c r="AN195" s="43">
        <v>8.0377849730239426E-2</v>
      </c>
      <c r="AO195" s="43">
        <v>8.2730709736736241E-2</v>
      </c>
      <c r="AP195" s="43">
        <v>9.1988390082132998E-2</v>
      </c>
      <c r="AQ195" s="43">
        <v>-5.7023922865997001E-2</v>
      </c>
      <c r="AR195" s="43">
        <v>-6.0887812316557273E-2</v>
      </c>
      <c r="AS195" s="43">
        <v>5.5513153519317633E-2</v>
      </c>
      <c r="AT195" s="43">
        <v>2.2417032021706751E-2</v>
      </c>
      <c r="AU195" s="43">
        <v>8.2150969173841792E-2</v>
      </c>
      <c r="AV195" s="43">
        <v>-1.595920727017042E-2</v>
      </c>
      <c r="AW195" s="43">
        <v>2.2095899708169279E-2</v>
      </c>
      <c r="AX195" s="43">
        <v>0.13298491562555451</v>
      </c>
      <c r="AY195" s="43">
        <v>7.394653022883646E-2</v>
      </c>
      <c r="AZ195" s="43">
        <v>-8.6683447407043257E-3</v>
      </c>
    </row>
    <row r="196" spans="1:52" ht="16" x14ac:dyDescent="0.2">
      <c r="A196" s="41">
        <v>46082</v>
      </c>
      <c r="B196" s="44">
        <v>-3.9329296870931563E-2</v>
      </c>
      <c r="C196" s="44">
        <v>-0.1175762766481238</v>
      </c>
      <c r="D196" s="44">
        <v>-7.3663357194052925E-2</v>
      </c>
      <c r="E196" s="44">
        <v>-9.5431250554536828E-2</v>
      </c>
      <c r="F196" s="44">
        <v>-9.3543853688666467E-2</v>
      </c>
      <c r="G196" s="44">
        <v>-8.2380748930431791E-3</v>
      </c>
      <c r="H196" s="44">
        <v>-4.6268969628470602E-2</v>
      </c>
      <c r="I196" s="44">
        <v>-7.2674344597455698E-2</v>
      </c>
      <c r="J196" s="44">
        <v>-1.420674480746786E-2</v>
      </c>
      <c r="K196" s="44">
        <v>-2.3533847365207139E-2</v>
      </c>
      <c r="L196" s="44">
        <v>0.1078388580483232</v>
      </c>
      <c r="M196" s="44">
        <v>-9.1097668885032679E-2</v>
      </c>
      <c r="N196" s="44">
        <v>-0.1349669345607897</v>
      </c>
      <c r="O196" s="44">
        <v>-0.13087894104824871</v>
      </c>
      <c r="P196" s="44">
        <v>0.16513537138839471</v>
      </c>
      <c r="Q196" s="44">
        <v>-2.65547423326189E-2</v>
      </c>
      <c r="R196" s="44">
        <v>6.6222000997759212E-2</v>
      </c>
      <c r="S196" s="44">
        <v>-3.8734020596150387E-2</v>
      </c>
      <c r="T196" s="44">
        <v>-0.16968577605510141</v>
      </c>
      <c r="U196" s="44">
        <v>-7.6974530395399365E-2</v>
      </c>
      <c r="V196" s="44">
        <v>-1.0619007931979341E-2</v>
      </c>
      <c r="W196" s="44">
        <v>-0.1303613167200913</v>
      </c>
      <c r="X196" s="44">
        <v>-7.0603279682975195E-2</v>
      </c>
      <c r="Y196" s="44">
        <v>-1.6060835714468369E-2</v>
      </c>
      <c r="Z196" s="44">
        <v>-2.0446181140362011E-2</v>
      </c>
      <c r="AA196" s="44">
        <v>-6.114614299581389E-2</v>
      </c>
      <c r="AB196" s="44">
        <v>-0.11603562557403541</v>
      </c>
      <c r="AC196" s="44">
        <v>-8.3662135689908323E-2</v>
      </c>
      <c r="AD196" s="44">
        <v>-0.1054939275434499</v>
      </c>
      <c r="AE196" s="44">
        <v>-1.165086732340581E-2</v>
      </c>
      <c r="AF196" s="44">
        <v>-5.7467987562495271E-2</v>
      </c>
      <c r="AG196" s="44">
        <v>-0.18039156331876049</v>
      </c>
      <c r="AH196" s="44">
        <v>-9.4912662778259271E-3</v>
      </c>
      <c r="AI196" s="44">
        <v>3.3929124696141073E-2</v>
      </c>
      <c r="AJ196" s="44">
        <v>-1.5692551019651502E-2</v>
      </c>
      <c r="AK196" s="44">
        <v>-8.4503603653174331E-4</v>
      </c>
      <c r="AL196" s="44">
        <v>9.2062371637804841E-2</v>
      </c>
      <c r="AM196" s="44">
        <v>-0.1361243367152879</v>
      </c>
      <c r="AN196" s="44">
        <v>-0.11290353145944609</v>
      </c>
      <c r="AO196" s="44">
        <v>7.9615268980488318E-2</v>
      </c>
      <c r="AP196" s="44">
        <v>-6.5417801324543667E-2</v>
      </c>
      <c r="AQ196" s="44">
        <v>-6.7071655722620305E-2</v>
      </c>
      <c r="AR196" s="44">
        <v>-8.958404228659933E-2</v>
      </c>
      <c r="AS196" s="44">
        <v>-1.1552144992361121E-2</v>
      </c>
      <c r="AT196" s="44">
        <v>-0.1139887505586068</v>
      </c>
      <c r="AU196" s="44">
        <v>-1.2124257178000249E-2</v>
      </c>
      <c r="AV196" s="44">
        <v>-8.472015566150104E-2</v>
      </c>
      <c r="AW196" s="44">
        <v>-7.0161701901465201E-2</v>
      </c>
      <c r="AX196" s="44">
        <v>-8.438378029714988E-2</v>
      </c>
      <c r="AY196" s="44">
        <v>-2.668960559367373E-2</v>
      </c>
      <c r="AZ196" s="44">
        <v>-5.0932690968576999E-2</v>
      </c>
    </row>
    <row r="197" spans="1:52" ht="16" x14ac:dyDescent="0.2">
      <c r="A197" s="39">
        <v>46113</v>
      </c>
      <c r="B197" s="43">
        <v>6.9191115473439924E-2</v>
      </c>
      <c r="C197" s="43">
        <v>-0.11016280685942061</v>
      </c>
      <c r="D197" s="43">
        <v>1.2423910851209859E-2</v>
      </c>
      <c r="E197" s="43">
        <v>3.4596879989096552E-2</v>
      </c>
      <c r="F197" s="43">
        <v>-1.5915932149755729E-2</v>
      </c>
      <c r="G197" s="43">
        <v>0.27267485533749541</v>
      </c>
      <c r="H197" s="43">
        <v>0.25879303186701441</v>
      </c>
      <c r="I197" s="43">
        <v>-4.7216329186583028E-2</v>
      </c>
      <c r="J197" s="43">
        <v>1.8164931051450891E-2</v>
      </c>
      <c r="K197" s="43">
        <v>0.1856658589490687</v>
      </c>
      <c r="L197" s="43">
        <v>-6.56838150807596E-2</v>
      </c>
      <c r="M197" s="43">
        <v>7.6468146454980346E-2</v>
      </c>
      <c r="N197" s="43">
        <v>-2.0374426092148901E-2</v>
      </c>
      <c r="O197" s="43">
        <v>7.1897417124835439E-2</v>
      </c>
      <c r="P197" s="43">
        <v>-2.0118761923662021E-2</v>
      </c>
      <c r="Q197" s="43">
        <v>3.6605262699144207E-2</v>
      </c>
      <c r="R197" s="43">
        <v>0.1194829742114691</v>
      </c>
      <c r="S197" s="43">
        <v>7.8061423800030996E-3</v>
      </c>
      <c r="T197" s="43">
        <v>2.1707658200458502E-2</v>
      </c>
      <c r="U197" s="43">
        <v>0.33815544466040709</v>
      </c>
      <c r="V197" s="43">
        <v>9.1939675913357943E-2</v>
      </c>
      <c r="W197" s="43">
        <v>-2.7376531560141531E-4</v>
      </c>
      <c r="X197" s="43">
        <v>1.221837933410108E-2</v>
      </c>
      <c r="Y197" s="43">
        <v>-5.9687453134405599E-2</v>
      </c>
      <c r="Z197" s="43">
        <v>7.0278166383644258E-2</v>
      </c>
      <c r="AA197" s="43">
        <v>3.5634498987387131E-2</v>
      </c>
      <c r="AB197" s="43">
        <v>-5.9628744916182967E-2</v>
      </c>
      <c r="AC197" s="43">
        <v>-5.5342846435653133E-2</v>
      </c>
      <c r="AD197" s="43">
        <v>-6.5550996141378048E-2</v>
      </c>
      <c r="AE197" s="43">
        <v>0.1643326197314057</v>
      </c>
      <c r="AF197" s="43">
        <v>0.1016019337833818</v>
      </c>
      <c r="AG197" s="43">
        <v>0.53078368532933462</v>
      </c>
      <c r="AH197" s="43">
        <v>5.3832831259386538E-2</v>
      </c>
      <c r="AI197" s="43">
        <v>8.7385250803056591E-2</v>
      </c>
      <c r="AJ197" s="43">
        <v>0.14432340855381229</v>
      </c>
      <c r="AK197" s="43">
        <v>5.8359166156893183E-2</v>
      </c>
      <c r="AL197" s="43">
        <v>2.2900750162563099E-2</v>
      </c>
      <c r="AM197" s="43">
        <v>2.6014896323122368E-2</v>
      </c>
      <c r="AN197" s="43">
        <v>1.5839309491418652E-2</v>
      </c>
      <c r="AO197" s="43">
        <v>0.22444938700995981</v>
      </c>
      <c r="AP197" s="43">
        <v>7.4444098584079743E-2</v>
      </c>
      <c r="AQ197" s="43">
        <v>0.12544854216525941</v>
      </c>
      <c r="AR197" s="43">
        <v>0.39447124720440341</v>
      </c>
      <c r="AS197" s="43">
        <v>-8.4877823217358928E-2</v>
      </c>
      <c r="AT197" s="43">
        <v>3.306781686491123E-3</v>
      </c>
      <c r="AU197" s="43">
        <v>-1.8472141726621261E-2</v>
      </c>
      <c r="AV197" s="43">
        <v>0.44782102775410099</v>
      </c>
      <c r="AW197" s="43">
        <v>0.36915629038311709</v>
      </c>
      <c r="AX197" s="43">
        <v>0.1107081354992228</v>
      </c>
      <c r="AY197" s="43">
        <v>6.155451032906134E-2</v>
      </c>
      <c r="AZ197" s="43">
        <v>0.1042333858298576</v>
      </c>
    </row>
    <row r="198" spans="1:52" ht="16" x14ac:dyDescent="0.2">
      <c r="A198" s="41">
        <v>46143</v>
      </c>
      <c r="B198" s="44">
        <v>0.1510871522184358</v>
      </c>
      <c r="C198" s="44">
        <v>-5.7164871337442517E-2</v>
      </c>
      <c r="D198" s="44">
        <v>5.3270967193914442E-2</v>
      </c>
      <c r="E198" s="44">
        <v>-5.377231001437377E-2</v>
      </c>
      <c r="F198" s="44">
        <v>-1.997613853547919E-2</v>
      </c>
      <c r="G198" s="44">
        <v>2.1051901989134428E-2</v>
      </c>
      <c r="H198" s="44">
        <v>-1.5998012717017281E-2</v>
      </c>
      <c r="I198" s="44">
        <v>-8.0251482462979196E-2</v>
      </c>
      <c r="J198" s="44">
        <v>-5.6008615688898138E-2</v>
      </c>
      <c r="K198" s="44">
        <v>0.3160655117551403</v>
      </c>
      <c r="L198" s="44">
        <v>-4.7482352793706051E-2</v>
      </c>
      <c r="M198" s="44">
        <v>-1.8505980557842579E-2</v>
      </c>
      <c r="N198" s="44">
        <v>-1.765156031535919E-2</v>
      </c>
      <c r="O198" s="44">
        <v>2.820603587232107E-2</v>
      </c>
      <c r="P198" s="44">
        <v>-5.1148828862718987E-2</v>
      </c>
      <c r="Q198" s="44">
        <v>0.13540262217113089</v>
      </c>
      <c r="R198" s="44">
        <v>0.18385310105803379</v>
      </c>
      <c r="S198" s="44">
        <v>7.3192406450304226E-3</v>
      </c>
      <c r="T198" s="44">
        <v>0.11668341308167959</v>
      </c>
      <c r="U198" s="44">
        <v>-1.159041994984078E-2</v>
      </c>
      <c r="V198" s="44">
        <v>0.1101898161124526</v>
      </c>
      <c r="W198" s="44">
        <v>-3.5462175422255271E-2</v>
      </c>
      <c r="X198" s="44">
        <v>1.5429844363389121E-2</v>
      </c>
      <c r="Y198" s="44">
        <v>-1.402708434957234E-2</v>
      </c>
      <c r="Z198" s="44">
        <v>-4.4440192642512311E-2</v>
      </c>
      <c r="AA198" s="44">
        <v>3.174122202681096E-3</v>
      </c>
      <c r="AB198" s="44">
        <v>-2.0531207256664911E-2</v>
      </c>
      <c r="AC198" s="44">
        <v>-4.9013976439986513E-2</v>
      </c>
      <c r="AD198" s="44">
        <v>-8.8427924659828405E-2</v>
      </c>
      <c r="AE198" s="44">
        <v>9.1347977902331623E-2</v>
      </c>
      <c r="AF198" s="44">
        <v>0.1065161760369768</v>
      </c>
      <c r="AG198" s="44">
        <v>0.8775622219761785</v>
      </c>
      <c r="AH198" s="44">
        <v>-0.11105425899235841</v>
      </c>
      <c r="AI198" s="44">
        <v>0.57344050013260905</v>
      </c>
      <c r="AJ198" s="44">
        <v>5.7974658816573488E-2</v>
      </c>
      <c r="AK198" s="44">
        <v>1.8380357215803441E-2</v>
      </c>
      <c r="AL198" s="44">
        <v>-8.126872839015653E-2</v>
      </c>
      <c r="AM198" s="44">
        <v>-2.399892227042677E-2</v>
      </c>
      <c r="AN198" s="44">
        <v>-6.9143947738455558E-2</v>
      </c>
      <c r="AO198" s="44">
        <v>-0.34620050983414008</v>
      </c>
      <c r="AP198" s="44">
        <v>1.0209775376716969E-2</v>
      </c>
      <c r="AQ198" s="44">
        <v>-3.0700246466563112E-2</v>
      </c>
      <c r="AR198" s="44">
        <v>0.3978172167713141</v>
      </c>
      <c r="AS198" s="44">
        <v>-0.1292135517071886</v>
      </c>
      <c r="AT198" s="44">
        <v>-5.2803736579961742E-2</v>
      </c>
      <c r="AU198" s="44">
        <v>-9.5254983699951667E-3</v>
      </c>
      <c r="AV198" s="44">
        <v>9.3045376062306895E-2</v>
      </c>
      <c r="AW198" s="44">
        <v>2.6533131703182281E-2</v>
      </c>
      <c r="AX198" s="44">
        <v>-2.0318610190045772E-2</v>
      </c>
      <c r="AY198" s="44">
        <v>-0.1209663977066088</v>
      </c>
      <c r="AZ198" s="44">
        <v>5.1470355157242631E-2</v>
      </c>
    </row>
    <row r="199" spans="1:52" ht="16" x14ac:dyDescent="0.2">
      <c r="A199" s="39">
        <v>46174</v>
      </c>
      <c r="B199" s="43">
        <v>-7.2742454538718748E-2</v>
      </c>
      <c r="C199" s="43">
        <v>6.0046729412394077E-2</v>
      </c>
      <c r="D199" s="43">
        <v>-0.20905824994793251</v>
      </c>
      <c r="E199" s="43">
        <v>9.587697301775755E-2</v>
      </c>
      <c r="F199" s="43">
        <v>7.5210072353571356E-2</v>
      </c>
      <c r="G199" s="43">
        <v>-0.11934679486514491</v>
      </c>
      <c r="H199" s="43">
        <v>0.21581978711898239</v>
      </c>
      <c r="I199" s="43">
        <v>-1.286691026551157E-2</v>
      </c>
      <c r="J199" s="43">
        <v>-2.1802380864865412E-2</v>
      </c>
      <c r="K199" s="43">
        <v>-2.458062594372834E-2</v>
      </c>
      <c r="L199" s="43">
        <v>-9.1526959329759072E-2</v>
      </c>
      <c r="M199" s="43">
        <v>-4.7554695460799053E-2</v>
      </c>
      <c r="N199" s="43">
        <v>9.1286340781428388E-2</v>
      </c>
      <c r="O199" s="43">
        <v>-4.6587375227975514E-3</v>
      </c>
      <c r="P199" s="43">
        <v>-2.7365509719138311E-2</v>
      </c>
      <c r="Q199" s="43">
        <v>7.7852621648452525E-2</v>
      </c>
      <c r="R199" s="43">
        <v>8.4782835345156293E-2</v>
      </c>
      <c r="S199" s="43">
        <v>2.139436843779818E-2</v>
      </c>
      <c r="T199" s="43">
        <v>0.15434277484578729</v>
      </c>
      <c r="U199" s="43">
        <v>-5.9832063202849728E-2</v>
      </c>
      <c r="V199" s="43">
        <v>-9.4901851717809071E-3</v>
      </c>
      <c r="W199" s="43">
        <v>0.1204051440627032</v>
      </c>
      <c r="X199" s="43">
        <v>0.17180073510014471</v>
      </c>
      <c r="Y199" s="43">
        <v>0.12710251067166631</v>
      </c>
      <c r="Z199" s="43">
        <v>9.3615245286033488E-2</v>
      </c>
      <c r="AA199" s="43">
        <v>3.5244926753956303E-2</v>
      </c>
      <c r="AB199" s="43">
        <v>0.13276601860514761</v>
      </c>
      <c r="AC199" s="43">
        <v>-2.5274795911808149E-2</v>
      </c>
      <c r="AD199" s="43">
        <v>6.9446478254502786E-2</v>
      </c>
      <c r="AE199" s="43">
        <v>4.9999775021665194E-3</v>
      </c>
      <c r="AF199" s="43">
        <v>-0.17150856157139241</v>
      </c>
      <c r="AG199" s="43">
        <v>0.18876418311149629</v>
      </c>
      <c r="AH199" s="43">
        <v>1.612304118447128E-2</v>
      </c>
      <c r="AI199" s="43">
        <v>-0.1120545867016659</v>
      </c>
      <c r="AJ199" s="43">
        <v>-5.1230493410720952E-2</v>
      </c>
      <c r="AK199" s="43">
        <v>5.9900626286886638E-2</v>
      </c>
      <c r="AL199" s="43">
        <v>3.5739831706407037E-2</v>
      </c>
      <c r="AM199" s="43">
        <v>2.1454420265916822E-2</v>
      </c>
      <c r="AN199" s="43">
        <v>0.15804552487679199</v>
      </c>
      <c r="AO199" s="43">
        <v>5.5641518907574286E-3</v>
      </c>
      <c r="AP199" s="43">
        <v>-4.8907828016363057E-2</v>
      </c>
      <c r="AQ199" s="43">
        <v>1.722000434014781E-2</v>
      </c>
      <c r="AR199" s="43">
        <v>-0.26112460570561558</v>
      </c>
      <c r="AS199" s="43">
        <v>1.4248954954711349E-2</v>
      </c>
      <c r="AT199" s="43">
        <v>0.1332281447326151</v>
      </c>
      <c r="AU199" s="43">
        <v>-2.1001705474233971E-2</v>
      </c>
      <c r="AV199" s="43">
        <v>-2.489529374247024E-2</v>
      </c>
      <c r="AW199" s="43">
        <v>9.9113517903716808E-2</v>
      </c>
      <c r="AX199" s="43">
        <v>3.5638049624849837E-2</v>
      </c>
      <c r="AY199" s="43">
        <v>-2.1511891036546941E-2</v>
      </c>
      <c r="AZ199" s="43">
        <v>-1.0646379407113989E-2</v>
      </c>
    </row>
    <row r="200" spans="1:52" ht="16" x14ac:dyDescent="0.2">
      <c r="A200" s="41">
        <v>46204</v>
      </c>
      <c r="B200" s="44">
        <v>6.7562963011440935E-2</v>
      </c>
      <c r="C200" s="44">
        <v>0.17317481573336679</v>
      </c>
      <c r="D200" s="44">
        <v>0.22139302723517409</v>
      </c>
      <c r="E200" s="44">
        <v>0.1493978496452677</v>
      </c>
      <c r="F200" s="44">
        <v>6.362529611326817E-2</v>
      </c>
      <c r="G200" s="44">
        <v>0.13946459152936819</v>
      </c>
      <c r="H200" s="44">
        <v>-0.2334289557930925</v>
      </c>
      <c r="I200" s="44">
        <v>-1.0734939564530749E-2</v>
      </c>
      <c r="J200" s="44">
        <v>1.9170575092420039E-2</v>
      </c>
      <c r="K200" s="44">
        <v>-8.8207737253392926E-3</v>
      </c>
      <c r="L200" s="44">
        <v>0.18743967785350571</v>
      </c>
      <c r="M200" s="44">
        <v>-6.2335125811685543E-4</v>
      </c>
      <c r="N200" s="44">
        <v>-3.5173917672527422E-3</v>
      </c>
      <c r="O200" s="44">
        <v>4.6594622113699018E-2</v>
      </c>
      <c r="P200" s="44">
        <v>0.1546558130700304</v>
      </c>
      <c r="Q200" s="44">
        <v>-2.5363004447441991E-2</v>
      </c>
      <c r="R200" s="44">
        <v>-3.2190557760181648E-2</v>
      </c>
      <c r="S200" s="44">
        <v>8.7137238593865352E-2</v>
      </c>
      <c r="T200" s="44">
        <v>-3.5349528772422589E-2</v>
      </c>
      <c r="U200" s="44">
        <v>-3.4697744415898009E-3</v>
      </c>
      <c r="V200" s="44">
        <v>6.9311872923947249E-3</v>
      </c>
      <c r="W200" s="44">
        <v>-5.8750128682016338E-2</v>
      </c>
      <c r="X200" s="44">
        <v>5.4340119967786427E-2</v>
      </c>
      <c r="Y200" s="44">
        <v>9.3711737719677224E-3</v>
      </c>
      <c r="Z200" s="44">
        <v>7.9567452087246915E-2</v>
      </c>
      <c r="AA200" s="44">
        <v>7.7765472571400762E-2</v>
      </c>
      <c r="AB200" s="44">
        <v>-0.1048465701872885</v>
      </c>
      <c r="AC200" s="44">
        <v>1.220920422549066E-3</v>
      </c>
      <c r="AD200" s="44">
        <v>9.1524935772359761E-2</v>
      </c>
      <c r="AE200" s="44">
        <v>1.2142701699750621E-2</v>
      </c>
      <c r="AF200" s="44">
        <v>0.24583136341252129</v>
      </c>
      <c r="AG200" s="44">
        <v>-0.28687195184510222</v>
      </c>
      <c r="AH200" s="44">
        <v>-9.6844326991918361E-3</v>
      </c>
      <c r="AI200" s="44">
        <v>0.15690194666740509</v>
      </c>
      <c r="AJ200" s="44">
        <v>3.2985340306310729E-3</v>
      </c>
      <c r="AK200" s="44">
        <v>0.2038499069155508</v>
      </c>
      <c r="AL200" s="44">
        <v>4.4513383647999838E-2</v>
      </c>
      <c r="AM200" s="44">
        <v>-7.3061194109649294E-3</v>
      </c>
      <c r="AN200" s="44">
        <v>-1.625554989971745E-3</v>
      </c>
      <c r="AO200" s="44">
        <v>-6.8859451208929556E-2</v>
      </c>
      <c r="AP200" s="44">
        <v>6.7468807169772216E-2</v>
      </c>
      <c r="AQ200" s="44">
        <v>0.1102966930412819</v>
      </c>
      <c r="AR200" s="44">
        <v>-0.20120137722010989</v>
      </c>
      <c r="AS200" s="44">
        <v>0.22306511341840449</v>
      </c>
      <c r="AT200" s="44">
        <v>-1.007785613139245E-2</v>
      </c>
      <c r="AU200" s="44">
        <v>3.8547912472625567E-2</v>
      </c>
      <c r="AV200" s="44">
        <v>-7.0178825538178669E-2</v>
      </c>
      <c r="AW200" s="44">
        <v>-2.9593892930682708E-3</v>
      </c>
      <c r="AX200" s="44">
        <v>7.4007366098475691E-2</v>
      </c>
      <c r="AY200" s="44">
        <v>-1.8188275839716491E-2</v>
      </c>
      <c r="AZ200" s="44">
        <v>-1.285396168904773E-3</v>
      </c>
    </row>
    <row r="201" spans="1:52" ht="16" x14ac:dyDescent="0.2">
      <c r="A201" s="39">
        <v>46235</v>
      </c>
      <c r="B201" s="43">
        <v>2.6587852979950592E-2</v>
      </c>
      <c r="C201" s="43">
        <v>4.4087074708159417E-2</v>
      </c>
      <c r="D201" s="43">
        <v>0.16924245941866589</v>
      </c>
      <c r="E201" s="43">
        <v>-7.014246314876349E-3</v>
      </c>
      <c r="F201" s="43">
        <v>0.1226302030492858</v>
      </c>
      <c r="G201" s="43">
        <v>-4.3486258717562731E-2</v>
      </c>
      <c r="H201" s="43">
        <v>-2.128106786542194E-2</v>
      </c>
      <c r="I201" s="43">
        <v>0.1110184414190802</v>
      </c>
      <c r="J201" s="43">
        <v>-8.4043323040369211E-3</v>
      </c>
      <c r="K201" s="43">
        <v>-4.7417881725110078E-2</v>
      </c>
      <c r="L201" s="43">
        <v>5.6439671754022092E-2</v>
      </c>
      <c r="M201" s="43">
        <v>0.1180995979002231</v>
      </c>
      <c r="N201" s="43">
        <v>2.0062699370587911E-2</v>
      </c>
      <c r="O201" s="43">
        <v>2.093819385761608E-2</v>
      </c>
      <c r="P201" s="43">
        <v>-2.508571972758511E-2</v>
      </c>
      <c r="Q201" s="43">
        <v>3.0360185695122329E-2</v>
      </c>
      <c r="R201" s="43">
        <v>1.132721632419398E-2</v>
      </c>
      <c r="S201" s="43">
        <v>-3.1479857340554918E-2</v>
      </c>
      <c r="T201" s="43">
        <v>-6.7653554513375735E-2</v>
      </c>
      <c r="U201" s="43">
        <v>-4.7117638120926397E-2</v>
      </c>
      <c r="V201" s="43">
        <v>7.384265029629633E-3</v>
      </c>
      <c r="W201" s="43">
        <v>-1.2441273184306319E-2</v>
      </c>
      <c r="X201" s="43">
        <v>3.095720115092027E-2</v>
      </c>
      <c r="Y201" s="43">
        <v>4.2173437343635101E-2</v>
      </c>
      <c r="Z201" s="43">
        <v>1.202416318259325E-2</v>
      </c>
      <c r="AA201" s="43">
        <v>1.233019609783326E-2</v>
      </c>
      <c r="AB201" s="43">
        <v>4.0342309350326122E-2</v>
      </c>
      <c r="AC201" s="43">
        <v>-2.623413222872073E-2</v>
      </c>
      <c r="AD201" s="43">
        <v>6.1599744394284617E-2</v>
      </c>
      <c r="AE201" s="43">
        <v>1.378200351919512E-2</v>
      </c>
      <c r="AF201" s="43">
        <v>9.36585239403942E-2</v>
      </c>
      <c r="AG201" s="43">
        <v>0.16487849330091289</v>
      </c>
      <c r="AH201" s="43">
        <v>-4.5568501942695017E-2</v>
      </c>
      <c r="AI201" s="43">
        <v>3.8039178073573147E-2</v>
      </c>
      <c r="AJ201" s="43">
        <v>9.9775834517045414E-2</v>
      </c>
      <c r="AK201" s="43">
        <v>6.1090603050631742E-2</v>
      </c>
      <c r="AL201" s="43">
        <v>6.986855829859917E-2</v>
      </c>
      <c r="AM201" s="43">
        <v>4.3600913563066612E-3</v>
      </c>
      <c r="AN201" s="43">
        <v>4.9999658677615244E-3</v>
      </c>
      <c r="AO201" s="43">
        <v>-7.0980569854547815E-2</v>
      </c>
      <c r="AP201" s="43">
        <v>-3.2432075386289227E-2</v>
      </c>
      <c r="AQ201" s="43">
        <v>-4.5057700760059438E-2</v>
      </c>
      <c r="AR201" s="43">
        <v>0.1549352880307282</v>
      </c>
      <c r="AS201" s="43">
        <v>4.9018629835668959E-2</v>
      </c>
      <c r="AT201" s="43">
        <v>-3.687534757691568E-3</v>
      </c>
      <c r="AU201" s="43">
        <v>-0.14622781472364729</v>
      </c>
      <c r="AV201" s="43">
        <v>-5.3782501985513043E-2</v>
      </c>
      <c r="AW201" s="43">
        <v>-6.0304031376548273E-2</v>
      </c>
      <c r="AX201" s="43">
        <v>3.4009956447625722E-2</v>
      </c>
      <c r="AY201" s="43">
        <v>-5.4666667950446501E-2</v>
      </c>
      <c r="AZ201" s="43">
        <v>2.6225268266459208E-2</v>
      </c>
    </row>
    <row r="202" spans="1:52" ht="16" x14ac:dyDescent="0.2">
      <c r="A202" s="41">
        <v>46266</v>
      </c>
      <c r="B202" s="44">
        <v>-4.7656927143364669E-3</v>
      </c>
      <c r="C202" s="44">
        <v>-4.6484208273344103E-2</v>
      </c>
      <c r="D202" s="44">
        <v>-0.1295467974575738</v>
      </c>
      <c r="E202" s="44">
        <v>3.9766331741541983E-2</v>
      </c>
      <c r="F202" s="44">
        <v>-8.9815798433485861E-2</v>
      </c>
      <c r="G202" s="44">
        <v>-2.8371233894919249E-2</v>
      </c>
      <c r="H202" s="44">
        <v>2.2684273414732999E-2</v>
      </c>
      <c r="I202" s="44">
        <v>-7.6258475681699744E-2</v>
      </c>
      <c r="J202" s="44">
        <v>-4.3744544832248211E-2</v>
      </c>
      <c r="K202" s="44">
        <v>-9.5936064719694958E-3</v>
      </c>
      <c r="L202" s="44">
        <v>3.7207714134350978E-2</v>
      </c>
      <c r="M202" s="44">
        <v>-3.1334287782030401E-2</v>
      </c>
      <c r="N202" s="44">
        <v>-3.8806568779096502E-2</v>
      </c>
      <c r="O202" s="44">
        <v>-1.3775951652341471E-2</v>
      </c>
      <c r="P202" s="44">
        <v>1.414174736494855E-2</v>
      </c>
      <c r="Q202" s="44">
        <v>6.7532988335013089E-2</v>
      </c>
      <c r="R202" s="44">
        <v>-6.1405447154886383E-3</v>
      </c>
      <c r="S202" s="44">
        <v>-5.0302928150684163E-2</v>
      </c>
      <c r="T202" s="44">
        <v>-3.065139045383658E-2</v>
      </c>
      <c r="U202" s="44">
        <v>-2.5010982951184198E-2</v>
      </c>
      <c r="V202" s="44">
        <v>7.7186841946987883E-3</v>
      </c>
      <c r="W202" s="44">
        <v>-4.6036623705227868E-2</v>
      </c>
      <c r="X202" s="44">
        <v>2.264243538295441E-2</v>
      </c>
      <c r="Y202" s="44">
        <v>4.6265956009461373E-3</v>
      </c>
      <c r="Z202" s="44">
        <v>-3.679561819613042E-3</v>
      </c>
      <c r="AA202" s="44">
        <v>-1.26310492874212E-2</v>
      </c>
      <c r="AB202" s="44">
        <v>5.1866668649649617E-2</v>
      </c>
      <c r="AC202" s="44">
        <v>-3.1336085062027008E-2</v>
      </c>
      <c r="AD202" s="44">
        <v>1.367896131160617E-2</v>
      </c>
      <c r="AE202" s="44">
        <v>9.5162137145980985E-3</v>
      </c>
      <c r="AF202" s="44">
        <v>-3.0830519791427261E-2</v>
      </c>
      <c r="AG202" s="44">
        <v>7.2011974663339862E-2</v>
      </c>
      <c r="AH202" s="44">
        <v>3.7649405122164299E-3</v>
      </c>
      <c r="AI202" s="44">
        <v>-2.9682541577916721E-3</v>
      </c>
      <c r="AJ202" s="44">
        <v>1.3089951108014249E-2</v>
      </c>
      <c r="AK202" s="44">
        <v>-6.3176135029085256E-2</v>
      </c>
      <c r="AL202" s="44">
        <v>-1.9789859095790119E-3</v>
      </c>
      <c r="AM202" s="44">
        <v>-1.7089276536540798E-2</v>
      </c>
      <c r="AN202" s="44">
        <v>-3.0599150191513821E-2</v>
      </c>
      <c r="AO202" s="44">
        <v>3.4115174578661638E-2</v>
      </c>
      <c r="AP202" s="44">
        <v>-3.0445930264323181E-2</v>
      </c>
      <c r="AQ202" s="44">
        <v>3.6376002089779651E-3</v>
      </c>
      <c r="AR202" s="44">
        <v>4.0357001858964743E-2</v>
      </c>
      <c r="AS202" s="44">
        <v>1.0724842495035469E-2</v>
      </c>
      <c r="AT202" s="44">
        <v>-5.3628827487636199E-2</v>
      </c>
      <c r="AU202" s="44">
        <v>-5.8173405290792068E-2</v>
      </c>
      <c r="AV202" s="44">
        <v>2.6062345875472741E-3</v>
      </c>
      <c r="AW202" s="44">
        <v>9.373138497108302E-3</v>
      </c>
      <c r="AX202" s="44">
        <v>-5.298174903360664E-2</v>
      </c>
      <c r="AY202" s="44">
        <v>9.1541819331548702E-3</v>
      </c>
      <c r="AZ202" s="44">
        <v>-6.4766283924080348E-3</v>
      </c>
    </row>
  </sheetData>
  <mergeCells count="1">
    <mergeCell ref="A1:AZ1"/>
  </mergeCells>
  <conditionalFormatting sqref="B3:AZ202">
    <cfRule type="colorScale" priority="1">
      <colorScale>
        <cfvo type="min"/>
        <cfvo type="num" val="0"/>
        <cfvo type="max"/>
        <color rgb="FFC0392B"/>
        <color rgb="FFFFFFFF"/>
        <color rgb="FF1E7B4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/>
  </sheetViews>
  <sheetFormatPr baseColWidth="10" defaultColWidth="8.83203125" defaultRowHeight="15" x14ac:dyDescent="0.2"/>
  <cols>
    <col min="1" max="1" width="48" customWidth="1"/>
    <col min="2" max="2" width="20" customWidth="1"/>
    <col min="3" max="3" width="15" customWidth="1"/>
  </cols>
  <sheetData>
    <row r="1" spans="1:3" ht="16" x14ac:dyDescent="0.2">
      <c r="A1" s="75" t="s">
        <v>399</v>
      </c>
      <c r="B1" s="55"/>
      <c r="C1" s="55"/>
    </row>
    <row r="2" spans="1:3" x14ac:dyDescent="0.2">
      <c r="A2" s="45" t="s">
        <v>400</v>
      </c>
    </row>
    <row r="4" spans="1:3" ht="16" x14ac:dyDescent="0.2">
      <c r="A4" s="46" t="s">
        <v>401</v>
      </c>
      <c r="B4" s="47" t="s">
        <v>402</v>
      </c>
    </row>
    <row r="5" spans="1:3" ht="16" x14ac:dyDescent="0.2">
      <c r="A5" s="46" t="s">
        <v>403</v>
      </c>
      <c r="B5" s="47">
        <v>50</v>
      </c>
    </row>
    <row r="6" spans="1:3" ht="16" x14ac:dyDescent="0.2">
      <c r="A6" s="46" t="s">
        <v>404</v>
      </c>
      <c r="B6" s="47">
        <v>0</v>
      </c>
    </row>
    <row r="8" spans="1:3" ht="16" x14ac:dyDescent="0.2">
      <c r="A8" s="46" t="s">
        <v>405</v>
      </c>
    </row>
    <row r="9" spans="1:3" ht="16" x14ac:dyDescent="0.2">
      <c r="A9" s="47" t="s">
        <v>406</v>
      </c>
    </row>
    <row r="11" spans="1:3" ht="16" x14ac:dyDescent="0.2">
      <c r="A11" s="46" t="s">
        <v>407</v>
      </c>
    </row>
    <row r="12" spans="1:3" ht="16" x14ac:dyDescent="0.2">
      <c r="A12" s="47" t="s">
        <v>406</v>
      </c>
    </row>
    <row r="14" spans="1:3" ht="16" x14ac:dyDescent="0.2">
      <c r="A14" s="46" t="s">
        <v>408</v>
      </c>
    </row>
    <row r="15" spans="1:3" ht="16" x14ac:dyDescent="0.2">
      <c r="A15" s="48" t="s">
        <v>395</v>
      </c>
      <c r="B15" s="48" t="s">
        <v>7</v>
      </c>
      <c r="C15" s="48" t="s">
        <v>409</v>
      </c>
    </row>
    <row r="16" spans="1:3" ht="16" x14ac:dyDescent="0.2">
      <c r="A16" s="47" t="s">
        <v>410</v>
      </c>
      <c r="B16" s="47" t="s">
        <v>139</v>
      </c>
      <c r="C16" s="47" t="s">
        <v>411</v>
      </c>
    </row>
    <row r="17" spans="1:3" ht="16" x14ac:dyDescent="0.2">
      <c r="A17" s="47" t="s">
        <v>412</v>
      </c>
      <c r="B17" s="47" t="s">
        <v>276</v>
      </c>
      <c r="C17" s="47" t="s">
        <v>413</v>
      </c>
    </row>
    <row r="18" spans="1:3" ht="16" x14ac:dyDescent="0.2">
      <c r="A18" s="47" t="s">
        <v>412</v>
      </c>
      <c r="B18" s="47" t="s">
        <v>282</v>
      </c>
      <c r="C18" s="47" t="s">
        <v>414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Holdings</vt:lpstr>
      <vt:lpstr>Prices</vt:lpstr>
      <vt:lpstr>Returns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Wen, Ashley</cp:lastModifiedBy>
  <cp:revision>1</cp:revision>
  <dcterms:created xsi:type="dcterms:W3CDTF">2026-09-10T17:23:06Z</dcterms:created>
  <dcterms:modified xsi:type="dcterms:W3CDTF">2026-09-10T18:12:33Z</dcterms:modified>
  <dc:language>en-US</dc:language>
</cp:coreProperties>
</file>